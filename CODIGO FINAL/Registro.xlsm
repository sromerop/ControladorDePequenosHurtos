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rome\Desktop\ETSIT\ELCO\CODIGO FINAL\"/>
    </mc:Choice>
  </mc:AlternateContent>
  <xr:revisionPtr revIDLastSave="0" documentId="13_ncr:1_{8F9750BC-659F-42D3-AAD1-FBC3AD76355E}" xr6:coauthVersionLast="32" xr6:coauthVersionMax="32" xr10:uidLastSave="{00000000-0000-0000-0000-000000000000}"/>
  <bookViews>
    <workbookView xWindow="0" yWindow="0" windowWidth="15345" windowHeight="5865" activeTab="2" xr2:uid="{CD37E346-320E-4CBB-BE2A-21ECB6076799}"/>
  </bookViews>
  <sheets>
    <sheet name="Lectura" sheetId="2" r:id="rId1"/>
    <sheet name="Registro" sheetId="1" r:id="rId2"/>
    <sheet name="BBDD" sheetId="3" r:id="rId3"/>
  </sheets>
  <functionGroups builtInGroupCount="19"/>
  <definedNames>
    <definedName name="_xlnm._FilterDatabase" localSheetId="1" hidden="1">Registro!$A$1:$E$17</definedName>
    <definedName name="DatosExternos_1" localSheetId="0" hidden="1">Lectura!$A$1:$D$50</definedName>
  </definedNames>
  <calcPr calcId="179017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lectura_datos_ffd0faf7-ce4b-4f37-9849-b9806a8b82b1" name="lectura_datos" connection="Consulta - lectura_datos"/>
        </x15:modelTables>
      </x15:dataModel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G44" i="1"/>
  <c r="G45" i="1"/>
  <c r="G46" i="1"/>
  <c r="G47" i="1"/>
  <c r="G48" i="1"/>
  <c r="G49" i="1"/>
  <c r="G50" i="1"/>
  <c r="G51" i="1"/>
  <c r="E45" i="1"/>
  <c r="E46" i="1"/>
  <c r="E47" i="1"/>
  <c r="E48" i="1"/>
  <c r="E49" i="1"/>
  <c r="E50" i="1"/>
  <c r="E51" i="1"/>
  <c r="D45" i="1"/>
  <c r="D46" i="1"/>
  <c r="D47" i="1"/>
  <c r="D48" i="1"/>
  <c r="D49" i="1"/>
  <c r="D50" i="1"/>
  <c r="D51" i="1"/>
  <c r="C45" i="1"/>
  <c r="C46" i="1"/>
  <c r="C47" i="1"/>
  <c r="C48" i="1"/>
  <c r="C49" i="1"/>
  <c r="C50" i="1"/>
  <c r="C51" i="1"/>
  <c r="B45" i="1"/>
  <c r="B46" i="1"/>
  <c r="B47" i="1"/>
  <c r="B48" i="1"/>
  <c r="B49" i="1"/>
  <c r="B50" i="1"/>
  <c r="B51" i="1"/>
  <c r="A51" i="1"/>
  <c r="A50" i="1"/>
  <c r="A49" i="1"/>
  <c r="A48" i="1"/>
  <c r="A47" i="1"/>
  <c r="A45" i="1"/>
  <c r="A46" i="1"/>
  <c r="E41" i="1"/>
  <c r="E42" i="1"/>
  <c r="E43" i="1"/>
  <c r="E44" i="1"/>
  <c r="E36" i="1"/>
  <c r="E37" i="1"/>
  <c r="E38" i="1"/>
  <c r="E39" i="1"/>
  <c r="E40" i="1"/>
  <c r="G40" i="1"/>
  <c r="D39" i="1"/>
  <c r="D40" i="1"/>
  <c r="D41" i="1"/>
  <c r="D42" i="1"/>
  <c r="D43" i="1"/>
  <c r="D44" i="1"/>
  <c r="C39" i="1"/>
  <c r="C40" i="1"/>
  <c r="C41" i="1"/>
  <c r="C42" i="1"/>
  <c r="C43" i="1"/>
  <c r="C44" i="1"/>
  <c r="B39" i="1"/>
  <c r="B40" i="1"/>
  <c r="B41" i="1"/>
  <c r="B42" i="1"/>
  <c r="B43" i="1"/>
  <c r="B44" i="1"/>
  <c r="A39" i="1"/>
  <c r="A40" i="1"/>
  <c r="A41" i="1"/>
  <c r="A42" i="1"/>
  <c r="A43" i="1"/>
  <c r="A44" i="1"/>
  <c r="E19" i="1"/>
  <c r="E20" i="1"/>
  <c r="E21" i="1"/>
  <c r="E22" i="1"/>
  <c r="E23" i="1"/>
  <c r="G23" i="1" s="1"/>
  <c r="E24" i="1"/>
  <c r="E25" i="1"/>
  <c r="E26" i="1"/>
  <c r="E27" i="1"/>
  <c r="E28" i="1"/>
  <c r="E29" i="1"/>
  <c r="E30" i="1"/>
  <c r="E31" i="1"/>
  <c r="E32" i="1"/>
  <c r="E33" i="1"/>
  <c r="E34" i="1"/>
  <c r="E35" i="1"/>
  <c r="E3" i="1"/>
  <c r="G3" i="1" s="1"/>
  <c r="E4" i="1"/>
  <c r="E5" i="1"/>
  <c r="E6" i="1"/>
  <c r="E7" i="1"/>
  <c r="E8" i="1"/>
  <c r="E9" i="1"/>
  <c r="E10" i="1"/>
  <c r="E11" i="1"/>
  <c r="G11" i="1" s="1"/>
  <c r="E12" i="1"/>
  <c r="E13" i="1"/>
  <c r="E14" i="1"/>
  <c r="E15" i="1"/>
  <c r="E16" i="1"/>
  <c r="E17" i="1"/>
  <c r="E18" i="1"/>
  <c r="E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G35" i="1" s="1"/>
  <c r="B36" i="1"/>
  <c r="B37" i="1"/>
  <c r="B38" i="1"/>
  <c r="B2" i="1"/>
  <c r="A8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18" i="1"/>
  <c r="A19" i="1"/>
  <c r="A20" i="1"/>
  <c r="A21" i="1"/>
  <c r="A22" i="1"/>
  <c r="A23" i="1"/>
  <c r="A24" i="1"/>
  <c r="A25" i="1"/>
  <c r="A3" i="1"/>
  <c r="A4" i="1"/>
  <c r="A5" i="1"/>
  <c r="A6" i="1"/>
  <c r="A7" i="1"/>
  <c r="A9" i="1"/>
  <c r="A10" i="1"/>
  <c r="A11" i="1"/>
  <c r="A12" i="1"/>
  <c r="A13" i="1"/>
  <c r="A14" i="1"/>
  <c r="A15" i="1"/>
  <c r="A16" i="1"/>
  <c r="A17" i="1"/>
  <c r="A2" i="1"/>
  <c r="G2" i="1" l="1"/>
  <c r="G43" i="1"/>
  <c r="G31" i="1"/>
  <c r="G27" i="1"/>
  <c r="G25" i="1"/>
  <c r="G39" i="1"/>
  <c r="G42" i="1"/>
  <c r="G41" i="1"/>
  <c r="G10" i="1"/>
  <c r="G38" i="1"/>
  <c r="G34" i="1"/>
  <c r="G30" i="1"/>
  <c r="G37" i="1"/>
  <c r="G33" i="1"/>
  <c r="G29" i="1"/>
  <c r="G21" i="1"/>
  <c r="G17" i="1"/>
  <c r="G13" i="1"/>
  <c r="G9" i="1"/>
  <c r="G5" i="1"/>
  <c r="G18" i="1"/>
  <c r="G36" i="1"/>
  <c r="G32" i="1"/>
  <c r="G28" i="1"/>
  <c r="G24" i="1"/>
  <c r="G20" i="1"/>
  <c r="G16" i="1"/>
  <c r="G12" i="1"/>
  <c r="G8" i="1"/>
  <c r="G4" i="1"/>
  <c r="G14" i="1"/>
  <c r="G19" i="1"/>
  <c r="G15" i="1"/>
  <c r="G7" i="1"/>
  <c r="G26" i="1"/>
  <c r="G22" i="1"/>
  <c r="G6" i="1"/>
  <c r="F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3B5619D-C59D-4BF2-8DF4-5F6097105FE1}" name="Consulta - lectura_datos" description="Conexión a la consulta 'lectura_datos' en el libro." type="100" refreshedVersion="6" minRefreshableVersion="5">
    <extLst>
      <ext xmlns:x15="http://schemas.microsoft.com/office/spreadsheetml/2010/11/main" uri="{DE250136-89BD-433C-8126-D09CA5730AF9}">
        <x15:connection id="32fb97ee-a5ce-431a-a559-f8b09dd3f188"/>
      </ext>
    </extLst>
  </connection>
  <connection id="2" xr16:uid="{712F1461-3924-4AAF-9453-C490985B6216}" keepAlive="1" name="ModelConnection_DatosExternos_1" description="Modelo de datos" type="5" refreshedVersion="6" minRefreshableVersion="5" saveData="1">
    <dbPr connection="Data Model Connection" command="lectura_dato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77772DBD-31CC-41B9-B1A4-9843C169C870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<sst xmlns="http://schemas.openxmlformats.org/spreadsheetml/2006/main" count="84" uniqueCount="33">
  <si>
    <t>ID</t>
  </si>
  <si>
    <t>Nombre</t>
  </si>
  <si>
    <t>Pedro</t>
  </si>
  <si>
    <t>Pablo</t>
  </si>
  <si>
    <t>Natalia</t>
  </si>
  <si>
    <t>Santiago</t>
  </si>
  <si>
    <t>Sí</t>
  </si>
  <si>
    <t>No</t>
  </si>
  <si>
    <t>Permiso</t>
  </si>
  <si>
    <t>Díaz Álvarez</t>
  </si>
  <si>
    <t>Fernández Fernández</t>
  </si>
  <si>
    <t>García Labrador</t>
  </si>
  <si>
    <t>Apellidos</t>
  </si>
  <si>
    <t>gym</t>
  </si>
  <si>
    <t>tarjeta</t>
  </si>
  <si>
    <t>abono</t>
  </si>
  <si>
    <t>chapa</t>
  </si>
  <si>
    <t>Romero Pomar</t>
  </si>
  <si>
    <t>34 2D 32 A2</t>
  </si>
  <si>
    <t>F5 A3 50 D6</t>
  </si>
  <si>
    <t>04 56 17 3A 4D 2E 80</t>
  </si>
  <si>
    <t>A4 A5 28 EB</t>
  </si>
  <si>
    <t>FECHA</t>
  </si>
  <si>
    <t>ACCESO</t>
  </si>
  <si>
    <t>PESO</t>
  </si>
  <si>
    <t>HORA</t>
  </si>
  <si>
    <t>F5 A3 50 D6 ROBO</t>
  </si>
  <si>
    <t>04 4A 6A F2 02 55 80 ROBO</t>
  </si>
  <si>
    <t>ROBO</t>
  </si>
  <si>
    <t>04 4A 6A F2 02 55 80</t>
  </si>
  <si>
    <t>A4 A5 28 EB ROBO</t>
  </si>
  <si>
    <t>PESO ROBADO</t>
  </si>
  <si>
    <t>INCIDENTE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</si>
</sst>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7CE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7558519241921"/>
      </top>
      <bottom style="thin">
        <color theme="4" tint="0.39991454817346722"/>
      </bottom>
      <diagonal/>
    </border>
    <border>
      <left style="thin">
        <color theme="4" tint="0.39988402966399123"/>
      </left>
      <right style="thin">
        <color theme="4" tint="0.39988402966399123"/>
      </right>
      <top style="thin">
        <color theme="4" tint="0.39988402966399123"/>
      </top>
      <bottom style="thin">
        <color theme="4" tint="0.39988402966399123"/>
      </bottom>
      <diagonal/>
    </border>
    <border>
      <left style="thin">
        <color theme="4" tint="0.39994506668294322"/>
      </left>
      <right/>
      <top style="thin">
        <color theme="4" tint="0.39991454817346722"/>
      </top>
      <bottom style="thin">
        <color theme="4" tint="0.3999145481734672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2" fillId="0" borderId="0" xfId="0" applyFont="1"/>
    <xf numFmtId="14" fontId="0" fillId="3" borderId="3" xfId="0" applyNumberFormat="1" applyFont="1" applyFill="1" applyBorder="1" applyAlignment="1">
      <alignment horizontal="center" vertical="center"/>
    </xf>
    <xf numFmtId="164" fontId="0" fillId="3" borderId="2" xfId="0" applyNumberFormat="1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0" fillId="4" borderId="7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12"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theme="4" tint="0.79998168889431442"/>
      </font>
      <fill>
        <patternFill>
          <bgColor theme="4" tint="0.79998168889431442"/>
        </patternFill>
      </fill>
    </dxf>
    <dxf>
      <font>
        <color rgb="FFFFC7CE"/>
      </font>
      <fill>
        <patternFill>
          <fgColor rgb="FFFFC7CE"/>
          <bgColor rgb="FFFFC7C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[$-F400]h:mm:ss\ AM/PM"/>
    </dxf>
    <dxf>
      <numFmt numFmtId="19" formatCode="dd/mm/yyyy"/>
    </dxf>
    <dxf>
      <numFmt numFmtId="0" formatCode="General"/>
    </dxf>
  </dxfs>
  <tableStyles count="0" defaultTableStyle="TableStyleMedium2" defaultPivotStyle="PivotStyleLight16"/>
  <colors>
    <mruColors>
      <color rgb="FFFF0000"/>
      <color rgb="FFFFC7CE"/>
      <color rgb="FFFF7C80"/>
      <color rgb="FF0099FF"/>
      <color rgb="FF0066FF"/>
      <color rgb="FF3333FF"/>
      <color rgb="FF0000FF"/>
      <color rgb="FF00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2" xr16:uid="{EB4BD3AF-C408-4FBB-9993-358C9110CA1A}" autoFormatId="16" applyNumberFormats="0" applyBorderFormats="0" applyFontFormats="0" applyPatternFormats="0" applyAlignmentFormats="0" applyWidthHeightFormats="0">
  <queryTableRefresh nextId="5">
    <queryTableFields count="4">
      <queryTableField id="1" name="ID" tableColumnId="1"/>
      <queryTableField id="2" name="PESO" tableColumnId="2"/>
      <queryTableField id="3" name="FECHA" tableColumnId="3"/>
      <queryTableField id="4" name="HORA" tableColumnId="4"/>
    </queryTableFields>
  </queryTableRefresh>
  <extLst>
    <ext xmlns:x15="http://schemas.microsoft.com/office/spreadsheetml/2010/11/main" uri="{883FBD77-0823-4a55-B5E3-86C4891E6966}">
      <x15:queryTable sourceDataName="Consulta - lectura_datos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A78B51E-2318-44B8-9B86-072321A5D587}" name="lectura_datos" displayName="lectura_datos" ref="A1:D50" tableType="queryTable" totalsRowShown="0">
  <autoFilter ref="A1:D50" xr:uid="{82CF16CF-5DEB-4A11-8C99-FB8C9415E09A}"/>
  <tableColumns count="4">
    <tableColumn id="1" xr3:uid="{B20AC513-0766-4543-9109-75839615E5CE}" uniqueName="1" name="ID" queryTableFieldId="1" dataDxfId="11"/>
    <tableColumn id="2" xr3:uid="{DE27A08E-2BD8-4E21-A4FB-1C8CE7A60D2E}" uniqueName="2" name="PESO" queryTableFieldId="2"/>
    <tableColumn id="3" xr3:uid="{9D97A8E4-662D-4C4D-9C3F-BF08347FD45E}" uniqueName="3" name="FECHA" queryTableFieldId="3" dataDxfId="10"/>
    <tableColumn id="4" xr3:uid="{6FDFC85A-D80F-40C4-8092-7D08A67DF8F4}" uniqueName="4" name="HORA" queryTableFieldId="4" dataDxf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CBAD946-5CDB-408D-AD0E-C84F7518C3F4}" name="Tabla1" displayName="Tabla1" ref="B3:E7" totalsRowShown="0" headerRowDxfId="1" tableBorderDxfId="0">
  <autoFilter ref="B3:E7" xr:uid="{D16CD2A6-DD8D-4E1C-BA09-9F8A19B87409}"/>
  <tableColumns count="4">
    <tableColumn id="1" xr3:uid="{3B999C24-E30B-4941-BE10-3DF346DBC7CA}" name="ID"/>
    <tableColumn id="2" xr3:uid="{310D67C6-006D-4F5F-B8A6-A98E42545D4D}" name="Apellidos"/>
    <tableColumn id="3" xr3:uid="{86D46363-E364-4B92-A03E-8A7E66751B7E}" name="Nombre"/>
    <tableColumn id="4" xr3:uid="{90EEB2F9-FE77-4DFF-BAA2-CA8AB10BEC19}" name="Permis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75B76-8D90-4C35-81CC-9D1E780A8869}">
  <dimension ref="A1:D51"/>
  <sheetViews>
    <sheetView workbookViewId="0">
      <selection activeCell="A50" sqref="A50"/>
    </sheetView>
  </sheetViews>
  <sheetFormatPr baseColWidth="10" defaultRowHeight="15" x14ac:dyDescent="0.25"/>
  <cols>
    <col min="1" max="1" width="23.28515625" bestFit="1" customWidth="1"/>
    <col min="2" max="2" width="7.7109375" bestFit="1" customWidth="1"/>
    <col min="3" max="3" width="10.5703125" bestFit="1" customWidth="1"/>
    <col min="4" max="4" width="8.140625" bestFit="1" customWidth="1"/>
  </cols>
  <sheetData>
    <row r="1" spans="1:4" x14ac:dyDescent="0.25">
      <c r="A1" t="s">
        <v>0</v>
      </c>
      <c r="B1" t="s">
        <v>24</v>
      </c>
      <c r="C1" t="s">
        <v>22</v>
      </c>
      <c r="D1" t="s">
        <v>25</v>
      </c>
    </row>
    <row r="2" spans="1:4" x14ac:dyDescent="0.25">
      <c r="A2" s="9" t="s">
        <v>26</v>
      </c>
      <c r="B2">
        <v>459</v>
      </c>
      <c r="C2" s="11">
        <v>43207</v>
      </c>
      <c r="D2" s="10">
        <v>0.82534722222222223</v>
      </c>
    </row>
    <row r="3" spans="1:4" x14ac:dyDescent="0.25">
      <c r="A3" s="9" t="s">
        <v>19</v>
      </c>
      <c r="B3">
        <v>114</v>
      </c>
      <c r="C3" s="11">
        <v>43207</v>
      </c>
      <c r="D3" s="10">
        <v>0.82541666666666669</v>
      </c>
    </row>
    <row r="4" spans="1:4" x14ac:dyDescent="0.25">
      <c r="A4" s="9" t="s">
        <v>27</v>
      </c>
      <c r="B4">
        <v>453</v>
      </c>
      <c r="C4" s="11">
        <v>43207</v>
      </c>
      <c r="D4" s="10">
        <v>0.82547453703703699</v>
      </c>
    </row>
    <row r="5" spans="1:4" x14ac:dyDescent="0.25">
      <c r="A5" s="9" t="s">
        <v>28</v>
      </c>
      <c r="B5">
        <v>665</v>
      </c>
      <c r="C5" s="11">
        <v>43207</v>
      </c>
      <c r="D5" s="10">
        <v>0.82549768518518518</v>
      </c>
    </row>
    <row r="6" spans="1:4" x14ac:dyDescent="0.25">
      <c r="A6" s="9" t="s">
        <v>28</v>
      </c>
      <c r="B6">
        <v>725</v>
      </c>
      <c r="C6" s="11">
        <v>43207</v>
      </c>
      <c r="D6" s="10">
        <v>0.82552083333333337</v>
      </c>
    </row>
    <row r="7" spans="1:4" x14ac:dyDescent="0.25">
      <c r="A7" s="9" t="s">
        <v>21</v>
      </c>
      <c r="B7">
        <v>303</v>
      </c>
      <c r="C7" s="11">
        <v>43207</v>
      </c>
      <c r="D7" s="10">
        <v>0.82557870370370368</v>
      </c>
    </row>
    <row r="8" spans="1:4" x14ac:dyDescent="0.25">
      <c r="A8" s="9" t="s">
        <v>28</v>
      </c>
      <c r="B8">
        <v>103</v>
      </c>
      <c r="C8" s="11">
        <v>43207</v>
      </c>
      <c r="D8" s="10">
        <v>0.82559027777777783</v>
      </c>
    </row>
    <row r="9" spans="1:4" x14ac:dyDescent="0.25">
      <c r="A9" s="9" t="s">
        <v>21</v>
      </c>
      <c r="B9">
        <v>807</v>
      </c>
      <c r="C9" s="11">
        <v>43207</v>
      </c>
      <c r="D9" s="10">
        <v>0.82563657407407409</v>
      </c>
    </row>
    <row r="10" spans="1:4" x14ac:dyDescent="0.25">
      <c r="A10" s="9" t="s">
        <v>28</v>
      </c>
      <c r="B10">
        <v>47</v>
      </c>
      <c r="C10" s="11">
        <v>43207</v>
      </c>
      <c r="D10" s="10">
        <v>0.82564814814814813</v>
      </c>
    </row>
    <row r="11" spans="1:4" x14ac:dyDescent="0.25">
      <c r="A11" s="9" t="s">
        <v>19</v>
      </c>
      <c r="B11">
        <v>502</v>
      </c>
      <c r="C11" s="11">
        <v>43207</v>
      </c>
      <c r="D11" s="10">
        <v>0.8256944444444444</v>
      </c>
    </row>
    <row r="12" spans="1:4" x14ac:dyDescent="0.25">
      <c r="A12" s="9" t="s">
        <v>26</v>
      </c>
      <c r="B12">
        <v>653</v>
      </c>
      <c r="C12" s="11">
        <v>43207</v>
      </c>
      <c r="D12" s="10">
        <v>0.83538194444444447</v>
      </c>
    </row>
    <row r="13" spans="1:4" x14ac:dyDescent="0.25">
      <c r="A13" s="9" t="s">
        <v>29</v>
      </c>
      <c r="B13">
        <v>496</v>
      </c>
      <c r="C13" s="11">
        <v>43207</v>
      </c>
      <c r="D13" s="10">
        <v>0.83545138888888892</v>
      </c>
    </row>
    <row r="14" spans="1:4" x14ac:dyDescent="0.25">
      <c r="A14" s="9" t="s">
        <v>19</v>
      </c>
      <c r="B14">
        <v>599</v>
      </c>
      <c r="C14" s="11">
        <v>43207</v>
      </c>
      <c r="D14" s="10">
        <v>0.83549768518518519</v>
      </c>
    </row>
    <row r="15" spans="1:4" x14ac:dyDescent="0.25">
      <c r="A15" s="9" t="s">
        <v>21</v>
      </c>
      <c r="B15">
        <v>743</v>
      </c>
      <c r="C15" s="11">
        <v>43207</v>
      </c>
      <c r="D15" s="10">
        <v>0.83553240740740742</v>
      </c>
    </row>
    <row r="16" spans="1:4" x14ac:dyDescent="0.25">
      <c r="A16" s="9" t="s">
        <v>26</v>
      </c>
      <c r="B16">
        <v>878</v>
      </c>
      <c r="C16" s="11">
        <v>43207</v>
      </c>
      <c r="D16" s="10">
        <v>0.83557870370370368</v>
      </c>
    </row>
    <row r="17" spans="1:4" x14ac:dyDescent="0.25">
      <c r="A17" s="9" t="s">
        <v>26</v>
      </c>
      <c r="B17">
        <v>301</v>
      </c>
      <c r="C17" s="11">
        <v>43207</v>
      </c>
      <c r="D17" s="10">
        <v>0.8634722222222222</v>
      </c>
    </row>
    <row r="18" spans="1:4" x14ac:dyDescent="0.25">
      <c r="A18" s="9" t="s">
        <v>19</v>
      </c>
      <c r="B18">
        <v>742</v>
      </c>
      <c r="C18" s="11">
        <v>43207</v>
      </c>
      <c r="D18" s="10">
        <v>0.86354166666666665</v>
      </c>
    </row>
    <row r="19" spans="1:4" x14ac:dyDescent="0.25">
      <c r="A19" s="9" t="s">
        <v>28</v>
      </c>
      <c r="B19">
        <v>673</v>
      </c>
      <c r="C19" s="11">
        <v>43207</v>
      </c>
      <c r="D19" s="10">
        <v>0.86358796296296292</v>
      </c>
    </row>
    <row r="20" spans="1:4" x14ac:dyDescent="0.25">
      <c r="A20" s="9" t="s">
        <v>28</v>
      </c>
      <c r="B20">
        <v>893</v>
      </c>
      <c r="C20" s="11">
        <v>43207</v>
      </c>
      <c r="D20" s="10">
        <v>0.86359953703703707</v>
      </c>
    </row>
    <row r="21" spans="1:4" x14ac:dyDescent="0.25">
      <c r="A21" s="9" t="s">
        <v>28</v>
      </c>
      <c r="B21">
        <v>32</v>
      </c>
      <c r="C21" s="11">
        <v>43207</v>
      </c>
      <c r="D21" s="10">
        <v>0.86361111111111111</v>
      </c>
    </row>
    <row r="22" spans="1:4" x14ac:dyDescent="0.25">
      <c r="A22" s="9" t="s">
        <v>26</v>
      </c>
      <c r="B22">
        <v>706</v>
      </c>
      <c r="C22" s="11">
        <v>43207</v>
      </c>
      <c r="D22" s="10">
        <v>0.86436342592592597</v>
      </c>
    </row>
    <row r="23" spans="1:4" x14ac:dyDescent="0.25">
      <c r="A23" s="9" t="s">
        <v>19</v>
      </c>
      <c r="B23">
        <v>680</v>
      </c>
      <c r="C23" s="11">
        <v>43207</v>
      </c>
      <c r="D23" s="10">
        <v>0.86443287037037042</v>
      </c>
    </row>
    <row r="24" spans="1:4" x14ac:dyDescent="0.25">
      <c r="A24" s="9" t="s">
        <v>28</v>
      </c>
      <c r="B24">
        <v>124</v>
      </c>
      <c r="C24" s="11">
        <v>43207</v>
      </c>
      <c r="D24" s="10">
        <v>0.86443287037037042</v>
      </c>
    </row>
    <row r="25" spans="1:4" x14ac:dyDescent="0.25">
      <c r="A25" s="9" t="s">
        <v>19</v>
      </c>
      <c r="B25">
        <v>652</v>
      </c>
      <c r="C25" s="11">
        <v>43207</v>
      </c>
      <c r="D25" s="10">
        <v>0.86447916666666669</v>
      </c>
    </row>
    <row r="26" spans="1:4" x14ac:dyDescent="0.25">
      <c r="A26" s="9" t="s">
        <v>19</v>
      </c>
      <c r="B26">
        <v>820</v>
      </c>
      <c r="C26" s="11">
        <v>43207</v>
      </c>
      <c r="D26" s="10">
        <v>0.86451388888888892</v>
      </c>
    </row>
    <row r="27" spans="1:4" x14ac:dyDescent="0.25">
      <c r="A27" s="9" t="s">
        <v>28</v>
      </c>
      <c r="B27">
        <v>910</v>
      </c>
      <c r="C27" s="11">
        <v>43207</v>
      </c>
      <c r="D27" s="10">
        <v>0.86453703703703699</v>
      </c>
    </row>
    <row r="28" spans="1:4" x14ac:dyDescent="0.25">
      <c r="A28" s="9" t="s">
        <v>26</v>
      </c>
      <c r="B28">
        <v>536</v>
      </c>
      <c r="C28" s="11">
        <v>43207</v>
      </c>
      <c r="D28" s="10">
        <v>0.97340277777777773</v>
      </c>
    </row>
    <row r="29" spans="1:4" x14ac:dyDescent="0.25">
      <c r="A29" s="9" t="s">
        <v>19</v>
      </c>
      <c r="B29">
        <v>608</v>
      </c>
      <c r="C29" s="11">
        <v>43207</v>
      </c>
      <c r="D29" s="10">
        <v>0.97347222222222218</v>
      </c>
    </row>
    <row r="30" spans="1:4" x14ac:dyDescent="0.25">
      <c r="A30" s="9" t="s">
        <v>21</v>
      </c>
      <c r="B30">
        <v>755</v>
      </c>
      <c r="C30" s="11">
        <v>43207</v>
      </c>
      <c r="D30" s="10">
        <v>0.9735300925925926</v>
      </c>
    </row>
    <row r="31" spans="1:4" x14ac:dyDescent="0.25">
      <c r="A31" s="9" t="s">
        <v>28</v>
      </c>
      <c r="B31">
        <v>32</v>
      </c>
      <c r="C31" s="11">
        <v>43207</v>
      </c>
      <c r="D31" s="10">
        <v>0.97354166666666664</v>
      </c>
    </row>
    <row r="32" spans="1:4" x14ac:dyDescent="0.25">
      <c r="A32" s="9" t="s">
        <v>28</v>
      </c>
      <c r="B32">
        <v>707</v>
      </c>
      <c r="C32" s="11">
        <v>43207</v>
      </c>
      <c r="D32" s="10">
        <v>0.97359953703703705</v>
      </c>
    </row>
    <row r="33" spans="1:4" x14ac:dyDescent="0.25">
      <c r="A33" s="9" t="s">
        <v>26</v>
      </c>
      <c r="B33">
        <v>828</v>
      </c>
      <c r="C33" s="11">
        <v>43207</v>
      </c>
      <c r="D33" s="10">
        <v>0.97365740740740736</v>
      </c>
    </row>
    <row r="34" spans="1:4" x14ac:dyDescent="0.25">
      <c r="A34" s="9" t="s">
        <v>19</v>
      </c>
      <c r="B34">
        <v>925</v>
      </c>
      <c r="C34" s="11">
        <v>43207</v>
      </c>
      <c r="D34" s="10">
        <v>0.97370370370370374</v>
      </c>
    </row>
    <row r="35" spans="1:4" x14ac:dyDescent="0.25">
      <c r="A35" s="9" t="s">
        <v>26</v>
      </c>
      <c r="B35">
        <v>806</v>
      </c>
      <c r="C35" s="11">
        <v>43207</v>
      </c>
      <c r="D35" s="10">
        <v>0.97393518518518518</v>
      </c>
    </row>
    <row r="36" spans="1:4" x14ac:dyDescent="0.25">
      <c r="A36" s="9" t="s">
        <v>19</v>
      </c>
      <c r="B36">
        <v>698</v>
      </c>
      <c r="C36" s="11">
        <v>43207</v>
      </c>
      <c r="D36" s="10">
        <v>0.97402777777777783</v>
      </c>
    </row>
    <row r="37" spans="1:4" x14ac:dyDescent="0.25">
      <c r="A37" s="9" t="s">
        <v>30</v>
      </c>
      <c r="B37">
        <v>676</v>
      </c>
      <c r="C37" s="11">
        <v>43207</v>
      </c>
      <c r="D37" s="10">
        <v>0.97408564814814813</v>
      </c>
    </row>
    <row r="38" spans="1:4" x14ac:dyDescent="0.25">
      <c r="A38" s="9" t="s">
        <v>30</v>
      </c>
      <c r="B38">
        <v>804</v>
      </c>
      <c r="C38" s="11">
        <v>43207</v>
      </c>
      <c r="D38" s="10">
        <v>0.97414351851851855</v>
      </c>
    </row>
    <row r="39" spans="1:4" x14ac:dyDescent="0.25">
      <c r="A39" s="9" t="s">
        <v>28</v>
      </c>
      <c r="B39">
        <v>871</v>
      </c>
      <c r="C39" s="11">
        <v>43207</v>
      </c>
      <c r="D39" s="10">
        <v>0.97418981481481481</v>
      </c>
    </row>
    <row r="40" spans="1:4" x14ac:dyDescent="0.25">
      <c r="A40" s="9" t="s">
        <v>19</v>
      </c>
      <c r="B40">
        <v>772</v>
      </c>
      <c r="C40" s="11">
        <v>43207</v>
      </c>
      <c r="D40" s="10">
        <v>0.97423611111111108</v>
      </c>
    </row>
    <row r="41" spans="1:4" x14ac:dyDescent="0.25">
      <c r="A41" s="9" t="s">
        <v>19</v>
      </c>
      <c r="B41">
        <v>710</v>
      </c>
      <c r="C41" s="11">
        <v>43207</v>
      </c>
      <c r="D41" s="10">
        <v>0.97649305555555554</v>
      </c>
    </row>
    <row r="42" spans="1:4" x14ac:dyDescent="0.25">
      <c r="A42" s="9" t="s">
        <v>28</v>
      </c>
      <c r="B42">
        <v>840</v>
      </c>
      <c r="C42" s="11">
        <v>43207</v>
      </c>
      <c r="D42" s="10">
        <v>0.97651620370370373</v>
      </c>
    </row>
    <row r="43" spans="1:4" x14ac:dyDescent="0.25">
      <c r="A43" s="9" t="s">
        <v>26</v>
      </c>
      <c r="B43">
        <v>611</v>
      </c>
      <c r="C43" s="11">
        <v>43207</v>
      </c>
      <c r="D43" s="10">
        <v>0.9775462962962963</v>
      </c>
    </row>
    <row r="44" spans="1:4" x14ac:dyDescent="0.25">
      <c r="A44" s="9" t="s">
        <v>19</v>
      </c>
      <c r="B44">
        <v>682</v>
      </c>
      <c r="C44" s="11">
        <v>43207</v>
      </c>
      <c r="D44" s="10">
        <v>0.97761574074074076</v>
      </c>
    </row>
    <row r="45" spans="1:4" x14ac:dyDescent="0.25">
      <c r="A45" s="9" t="s">
        <v>21</v>
      </c>
      <c r="B45">
        <v>899</v>
      </c>
      <c r="C45" s="11">
        <v>43207</v>
      </c>
      <c r="D45" s="10">
        <v>0.97766203703703702</v>
      </c>
    </row>
    <row r="46" spans="1:4" x14ac:dyDescent="0.25">
      <c r="A46" s="9" t="s">
        <v>28</v>
      </c>
      <c r="B46">
        <v>547</v>
      </c>
      <c r="C46" s="11">
        <v>43207</v>
      </c>
      <c r="D46" s="10">
        <v>0.97770833333333329</v>
      </c>
    </row>
    <row r="47" spans="1:4" x14ac:dyDescent="0.25">
      <c r="A47" s="9" t="s">
        <v>28</v>
      </c>
      <c r="B47">
        <v>30</v>
      </c>
      <c r="C47" s="11">
        <v>43207</v>
      </c>
      <c r="D47" s="10">
        <v>0.97774305555555552</v>
      </c>
    </row>
    <row r="48" spans="1:4" x14ac:dyDescent="0.25">
      <c r="A48" s="9" t="s">
        <v>19</v>
      </c>
      <c r="B48">
        <v>493</v>
      </c>
      <c r="C48" s="11">
        <v>43207</v>
      </c>
      <c r="D48" s="10">
        <v>0.97775462962962967</v>
      </c>
    </row>
    <row r="49" spans="1:4" x14ac:dyDescent="0.25">
      <c r="A49" s="9" t="s">
        <v>28</v>
      </c>
      <c r="B49">
        <v>195</v>
      </c>
      <c r="C49" s="11">
        <v>43207</v>
      </c>
      <c r="D49" s="10">
        <v>0.97776620370370371</v>
      </c>
    </row>
    <row r="50" spans="1:4" x14ac:dyDescent="0.25">
      <c r="A50" s="9" t="s">
        <v>19</v>
      </c>
      <c r="B50">
        <v>1000</v>
      </c>
      <c r="C50" s="11">
        <v>43207</v>
      </c>
      <c r="D50" s="10">
        <v>0.97781249999999997</v>
      </c>
    </row>
    <row r="51" spans="1:4" x14ac:dyDescent="0.25">
      <c r="A51" s="9"/>
      <c r="C51" s="10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E7703-F064-4449-B105-39C57F2B275B}">
  <sheetPr codeName="Hoja1"/>
  <dimension ref="A1:I51"/>
  <sheetViews>
    <sheetView topLeftCell="A5" workbookViewId="0">
      <selection activeCell="E25" sqref="E25"/>
    </sheetView>
  </sheetViews>
  <sheetFormatPr baseColWidth="10" defaultColWidth="11.42578125" defaultRowHeight="15" x14ac:dyDescent="0.25"/>
  <cols>
    <col min="1" max="1" width="23.28515625" style="1" bestFit="1" customWidth="1"/>
    <col min="2" max="2" width="17" style="1" customWidth="1"/>
    <col min="3" max="3" width="20.28515625" style="1" customWidth="1"/>
    <col min="4" max="4" width="12.5703125" style="1" customWidth="1"/>
    <col min="5" max="5" width="16.28515625" style="1" customWidth="1"/>
    <col min="6" max="6" width="23.28515625" style="1" bestFit="1" customWidth="1"/>
    <col min="7" max="7" width="16" style="1" customWidth="1"/>
    <col min="8" max="8" width="16.5703125" style="1" customWidth="1"/>
    <col min="9" max="9" width="17" style="1" customWidth="1"/>
    <col min="10" max="10" width="16.28515625" style="1" customWidth="1"/>
    <col min="11" max="11" width="16.5703125" style="1" customWidth="1"/>
    <col min="12" max="12" width="16.140625" style="1" customWidth="1"/>
    <col min="13" max="16384" width="11.42578125" style="1"/>
  </cols>
  <sheetData>
    <row r="1" spans="1:7" x14ac:dyDescent="0.25">
      <c r="A1" s="6" t="s">
        <v>0</v>
      </c>
      <c r="B1" s="6" t="s">
        <v>24</v>
      </c>
      <c r="C1" s="6" t="s">
        <v>22</v>
      </c>
      <c r="D1" s="6" t="s">
        <v>25</v>
      </c>
      <c r="E1" s="6" t="s">
        <v>23</v>
      </c>
      <c r="F1" s="18" t="s">
        <v>32</v>
      </c>
      <c r="G1" s="18" t="s">
        <v>31</v>
      </c>
    </row>
    <row r="2" spans="1:7" x14ac:dyDescent="0.25">
      <c r="A2" s="7" t="str">
        <f>lectura_datos[[#This Row],[ID]]</f>
        <v>F5 A3 50 D6 ROBO</v>
      </c>
      <c r="B2" s="15">
        <f>lectura_datos[[#This Row],[PESO]]</f>
        <v>459</v>
      </c>
      <c r="C2" s="13">
        <f>lectura_datos[[#This Row],[FECHA]]</f>
        <v>43207</v>
      </c>
      <c r="D2" s="14">
        <f>lectura_datos[[#This Row],[HORA]]</f>
        <v>0.82534722222222223</v>
      </c>
      <c r="E2" s="16" t="str">
        <f>IFERROR(VLOOKUP(Lectura!A2,Tabla1[],4,FALSE),"No")</f>
        <v>No</v>
      </c>
      <c r="F2" s="19" t="str">
        <f>IF(E2="No",A2,"")</f>
        <v>F5 A3 50 D6 ROBO</v>
      </c>
      <c r="G2" s="17">
        <f>IF(E2="No",B2,"")</f>
        <v>459</v>
      </c>
    </row>
    <row r="3" spans="1:7" x14ac:dyDescent="0.25">
      <c r="A3" s="7" t="str">
        <f>lectura_datos[[#This Row],[ID]]</f>
        <v>F5 A3 50 D6</v>
      </c>
      <c r="B3" s="15">
        <f>lectura_datos[[#This Row],[PESO]]</f>
        <v>114</v>
      </c>
      <c r="C3" s="13">
        <f>lectura_datos[[#This Row],[FECHA]]</f>
        <v>43207</v>
      </c>
      <c r="D3" s="14">
        <f>lectura_datos[[#This Row],[HORA]]</f>
        <v>0.82541666666666669</v>
      </c>
      <c r="E3" s="16" t="str">
        <f>IFERROR(VLOOKUP(Lectura!A3,Tabla1[],4,FALSE),"No")</f>
        <v>Sí</v>
      </c>
      <c r="F3" s="19" t="str">
        <f t="shared" ref="F3:F51" si="0">IF(E3="No",A3,"")</f>
        <v/>
      </c>
      <c r="G3" s="17" t="str">
        <f t="shared" ref="G3:G51" si="1">IF(E3="No",B3,"")</f>
        <v/>
      </c>
    </row>
    <row r="4" spans="1:7" x14ac:dyDescent="0.25">
      <c r="A4" s="7" t="str">
        <f>lectura_datos[[#This Row],[ID]]</f>
        <v>04 4A 6A F2 02 55 80 ROBO</v>
      </c>
      <c r="B4" s="15">
        <f>lectura_datos[[#This Row],[PESO]]</f>
        <v>453</v>
      </c>
      <c r="C4" s="13">
        <f>lectura_datos[[#This Row],[FECHA]]</f>
        <v>43207</v>
      </c>
      <c r="D4" s="14">
        <f>lectura_datos[[#This Row],[HORA]]</f>
        <v>0.82547453703703699</v>
      </c>
      <c r="E4" s="16" t="str">
        <f>IFERROR(VLOOKUP(Lectura!A4,Tabla1[],4,FALSE),"No")</f>
        <v>No</v>
      </c>
      <c r="F4" s="19" t="str">
        <f t="shared" si="0"/>
        <v>04 4A 6A F2 02 55 80 ROBO</v>
      </c>
      <c r="G4" s="17">
        <f t="shared" si="1"/>
        <v>453</v>
      </c>
    </row>
    <row r="5" spans="1:7" x14ac:dyDescent="0.25">
      <c r="A5" s="7" t="str">
        <f>lectura_datos[[#This Row],[ID]]</f>
        <v>ROBO</v>
      </c>
      <c r="B5" s="15">
        <f>lectura_datos[[#This Row],[PESO]]</f>
        <v>665</v>
      </c>
      <c r="C5" s="13">
        <f>lectura_datos[[#This Row],[FECHA]]</f>
        <v>43207</v>
      </c>
      <c r="D5" s="14">
        <f>lectura_datos[[#This Row],[HORA]]</f>
        <v>0.82549768518518518</v>
      </c>
      <c r="E5" s="16" t="str">
        <f>IFERROR(VLOOKUP(Lectura!A5,Tabla1[],4,FALSE),"No")</f>
        <v>No</v>
      </c>
      <c r="F5" s="19" t="str">
        <f t="shared" si="0"/>
        <v>ROBO</v>
      </c>
      <c r="G5" s="17">
        <f t="shared" si="1"/>
        <v>665</v>
      </c>
    </row>
    <row r="6" spans="1:7" x14ac:dyDescent="0.25">
      <c r="A6" s="7" t="str">
        <f>lectura_datos[[#This Row],[ID]]</f>
        <v>ROBO</v>
      </c>
      <c r="B6" s="15">
        <f>lectura_datos[[#This Row],[PESO]]</f>
        <v>725</v>
      </c>
      <c r="C6" s="13">
        <f>lectura_datos[[#This Row],[FECHA]]</f>
        <v>43207</v>
      </c>
      <c r="D6" s="14">
        <f>lectura_datos[[#This Row],[HORA]]</f>
        <v>0.82552083333333337</v>
      </c>
      <c r="E6" s="16" t="str">
        <f>IFERROR(VLOOKUP(Lectura!A6,Tabla1[],4,FALSE),"No")</f>
        <v>No</v>
      </c>
      <c r="F6" s="19" t="str">
        <f t="shared" si="0"/>
        <v>ROBO</v>
      </c>
      <c r="G6" s="17">
        <f t="shared" si="1"/>
        <v>725</v>
      </c>
    </row>
    <row r="7" spans="1:7" x14ac:dyDescent="0.25">
      <c r="A7" s="7" t="str">
        <f>lectura_datos[[#This Row],[ID]]</f>
        <v>A4 A5 28 EB</v>
      </c>
      <c r="B7" s="15">
        <f>lectura_datos[[#This Row],[PESO]]</f>
        <v>303</v>
      </c>
      <c r="C7" s="13">
        <f>lectura_datos[[#This Row],[FECHA]]</f>
        <v>43207</v>
      </c>
      <c r="D7" s="14">
        <f>lectura_datos[[#This Row],[HORA]]</f>
        <v>0.82557870370370368</v>
      </c>
      <c r="E7" s="16" t="str">
        <f>IFERROR(VLOOKUP(Lectura!A7,Tabla1[],4,FALSE),"No")</f>
        <v>No</v>
      </c>
      <c r="F7" s="19" t="str">
        <f t="shared" si="0"/>
        <v>A4 A5 28 EB</v>
      </c>
      <c r="G7" s="17">
        <f t="shared" si="1"/>
        <v>303</v>
      </c>
    </row>
    <row r="8" spans="1:7" x14ac:dyDescent="0.25">
      <c r="A8" s="7" t="str">
        <f>lectura_datos[[#This Row],[ID]]</f>
        <v>ROBO</v>
      </c>
      <c r="B8" s="15">
        <f>lectura_datos[[#This Row],[PESO]]</f>
        <v>103</v>
      </c>
      <c r="C8" s="13">
        <f>lectura_datos[[#This Row],[FECHA]]</f>
        <v>43207</v>
      </c>
      <c r="D8" s="14">
        <f>lectura_datos[[#This Row],[HORA]]</f>
        <v>0.82559027777777783</v>
      </c>
      <c r="E8" s="16" t="str">
        <f>IFERROR(VLOOKUP(Lectura!A8,Tabla1[],4,FALSE),"No")</f>
        <v>No</v>
      </c>
      <c r="F8" s="19" t="str">
        <f t="shared" si="0"/>
        <v>ROBO</v>
      </c>
      <c r="G8" s="17">
        <f t="shared" si="1"/>
        <v>103</v>
      </c>
    </row>
    <row r="9" spans="1:7" x14ac:dyDescent="0.25">
      <c r="A9" s="7" t="str">
        <f>lectura_datos[[#This Row],[ID]]</f>
        <v>A4 A5 28 EB</v>
      </c>
      <c r="B9" s="15">
        <f>lectura_datos[[#This Row],[PESO]]</f>
        <v>807</v>
      </c>
      <c r="C9" s="13">
        <f>lectura_datos[[#This Row],[FECHA]]</f>
        <v>43207</v>
      </c>
      <c r="D9" s="14">
        <f>lectura_datos[[#This Row],[HORA]]</f>
        <v>0.82563657407407409</v>
      </c>
      <c r="E9" s="16" t="str">
        <f>IFERROR(VLOOKUP(Lectura!A9,Tabla1[],4,FALSE),"No")</f>
        <v>No</v>
      </c>
      <c r="F9" s="19" t="str">
        <f t="shared" si="0"/>
        <v>A4 A5 28 EB</v>
      </c>
      <c r="G9" s="17">
        <f t="shared" si="1"/>
        <v>807</v>
      </c>
    </row>
    <row r="10" spans="1:7" ht="13.9" customHeight="1" x14ac:dyDescent="0.25">
      <c r="A10" s="7" t="str">
        <f>lectura_datos[[#This Row],[ID]]</f>
        <v>ROBO</v>
      </c>
      <c r="B10" s="15">
        <f>lectura_datos[[#This Row],[PESO]]</f>
        <v>47</v>
      </c>
      <c r="C10" s="13">
        <f>lectura_datos[[#This Row],[FECHA]]</f>
        <v>43207</v>
      </c>
      <c r="D10" s="14">
        <f>lectura_datos[[#This Row],[HORA]]</f>
        <v>0.82564814814814813</v>
      </c>
      <c r="E10" s="16" t="str">
        <f>IFERROR(VLOOKUP(Lectura!A10,Tabla1[],4,FALSE),"No")</f>
        <v>No</v>
      </c>
      <c r="F10" s="19" t="str">
        <f t="shared" si="0"/>
        <v>ROBO</v>
      </c>
      <c r="G10" s="17">
        <f t="shared" si="1"/>
        <v>47</v>
      </c>
    </row>
    <row r="11" spans="1:7" x14ac:dyDescent="0.25">
      <c r="A11" s="7" t="str">
        <f>lectura_datos[[#This Row],[ID]]</f>
        <v>F5 A3 50 D6</v>
      </c>
      <c r="B11" s="15">
        <f>lectura_datos[[#This Row],[PESO]]</f>
        <v>502</v>
      </c>
      <c r="C11" s="13">
        <f>lectura_datos[[#This Row],[FECHA]]</f>
        <v>43207</v>
      </c>
      <c r="D11" s="14">
        <f>lectura_datos[[#This Row],[HORA]]</f>
        <v>0.8256944444444444</v>
      </c>
      <c r="E11" s="16" t="str">
        <f>IFERROR(VLOOKUP(Lectura!A11,Tabla1[],4,FALSE),"No")</f>
        <v>Sí</v>
      </c>
      <c r="F11" s="19" t="str">
        <f t="shared" si="0"/>
        <v/>
      </c>
      <c r="G11" s="17" t="str">
        <f t="shared" si="1"/>
        <v/>
      </c>
    </row>
    <row r="12" spans="1:7" x14ac:dyDescent="0.25">
      <c r="A12" s="7" t="str">
        <f>lectura_datos[[#This Row],[ID]]</f>
        <v>F5 A3 50 D6 ROBO</v>
      </c>
      <c r="B12" s="15">
        <f>lectura_datos[[#This Row],[PESO]]</f>
        <v>653</v>
      </c>
      <c r="C12" s="13">
        <f>lectura_datos[[#This Row],[FECHA]]</f>
        <v>43207</v>
      </c>
      <c r="D12" s="14">
        <f>lectura_datos[[#This Row],[HORA]]</f>
        <v>0.83538194444444447</v>
      </c>
      <c r="E12" s="16" t="str">
        <f>IFERROR(VLOOKUP(Lectura!A12,Tabla1[],4,FALSE),"No")</f>
        <v>No</v>
      </c>
      <c r="F12" s="19" t="str">
        <f t="shared" si="0"/>
        <v>F5 A3 50 D6 ROBO</v>
      </c>
      <c r="G12" s="17">
        <f t="shared" si="1"/>
        <v>653</v>
      </c>
    </row>
    <row r="13" spans="1:7" x14ac:dyDescent="0.25">
      <c r="A13" s="7" t="str">
        <f>lectura_datos[[#This Row],[ID]]</f>
        <v>04 4A 6A F2 02 55 80</v>
      </c>
      <c r="B13" s="15">
        <f>lectura_datos[[#This Row],[PESO]]</f>
        <v>496</v>
      </c>
      <c r="C13" s="13">
        <f>lectura_datos[[#This Row],[FECHA]]</f>
        <v>43207</v>
      </c>
      <c r="D13" s="14">
        <f>lectura_datos[[#This Row],[HORA]]</f>
        <v>0.83545138888888892</v>
      </c>
      <c r="E13" s="16" t="str">
        <f>IFERROR(VLOOKUP(Lectura!A13,Tabla1[],4,FALSE),"No")</f>
        <v>No</v>
      </c>
      <c r="F13" s="19" t="str">
        <f t="shared" si="0"/>
        <v>04 4A 6A F2 02 55 80</v>
      </c>
      <c r="G13" s="17">
        <f t="shared" si="1"/>
        <v>496</v>
      </c>
    </row>
    <row r="14" spans="1:7" x14ac:dyDescent="0.25">
      <c r="A14" s="7" t="str">
        <f>lectura_datos[[#This Row],[ID]]</f>
        <v>F5 A3 50 D6</v>
      </c>
      <c r="B14" s="15">
        <f>lectura_datos[[#This Row],[PESO]]</f>
        <v>599</v>
      </c>
      <c r="C14" s="13">
        <f>lectura_datos[[#This Row],[FECHA]]</f>
        <v>43207</v>
      </c>
      <c r="D14" s="14">
        <f>lectura_datos[[#This Row],[HORA]]</f>
        <v>0.83549768518518519</v>
      </c>
      <c r="E14" s="16" t="str">
        <f>IFERROR(VLOOKUP(Lectura!A14,Tabla1[],4,FALSE),"No")</f>
        <v>Sí</v>
      </c>
      <c r="F14" s="19" t="str">
        <f t="shared" si="0"/>
        <v/>
      </c>
      <c r="G14" s="17" t="str">
        <f t="shared" si="1"/>
        <v/>
      </c>
    </row>
    <row r="15" spans="1:7" x14ac:dyDescent="0.25">
      <c r="A15" s="7" t="str">
        <f>lectura_datos[[#This Row],[ID]]</f>
        <v>A4 A5 28 EB</v>
      </c>
      <c r="B15" s="15">
        <f>lectura_datos[[#This Row],[PESO]]</f>
        <v>743</v>
      </c>
      <c r="C15" s="13">
        <f>lectura_datos[[#This Row],[FECHA]]</f>
        <v>43207</v>
      </c>
      <c r="D15" s="14">
        <f>lectura_datos[[#This Row],[HORA]]</f>
        <v>0.83553240740740742</v>
      </c>
      <c r="E15" s="16" t="str">
        <f>IFERROR(VLOOKUP(Lectura!A15,Tabla1[],4,FALSE),"No")</f>
        <v>No</v>
      </c>
      <c r="F15" s="19" t="str">
        <f t="shared" si="0"/>
        <v>A4 A5 28 EB</v>
      </c>
      <c r="G15" s="17">
        <f t="shared" si="1"/>
        <v>743</v>
      </c>
    </row>
    <row r="16" spans="1:7" x14ac:dyDescent="0.25">
      <c r="A16" s="7" t="str">
        <f>lectura_datos[[#This Row],[ID]]</f>
        <v>F5 A3 50 D6 ROBO</v>
      </c>
      <c r="B16" s="15">
        <f>lectura_datos[[#This Row],[PESO]]</f>
        <v>878</v>
      </c>
      <c r="C16" s="13">
        <f>lectura_datos[[#This Row],[FECHA]]</f>
        <v>43207</v>
      </c>
      <c r="D16" s="14">
        <f>lectura_datos[[#This Row],[HORA]]</f>
        <v>0.83557870370370368</v>
      </c>
      <c r="E16" s="16" t="str">
        <f>IFERROR(VLOOKUP(Lectura!A16,Tabla1[],4,FALSE),"No")</f>
        <v>No</v>
      </c>
      <c r="F16" s="19" t="str">
        <f t="shared" si="0"/>
        <v>F5 A3 50 D6 ROBO</v>
      </c>
      <c r="G16" s="17">
        <f t="shared" si="1"/>
        <v>878</v>
      </c>
    </row>
    <row r="17" spans="1:7" x14ac:dyDescent="0.25">
      <c r="A17" s="7" t="str">
        <f>lectura_datos[[#This Row],[ID]]</f>
        <v>F5 A3 50 D6 ROBO</v>
      </c>
      <c r="B17" s="15">
        <f>lectura_datos[[#This Row],[PESO]]</f>
        <v>301</v>
      </c>
      <c r="C17" s="13">
        <f>lectura_datos[[#This Row],[FECHA]]</f>
        <v>43207</v>
      </c>
      <c r="D17" s="14">
        <f>lectura_datos[[#This Row],[HORA]]</f>
        <v>0.8634722222222222</v>
      </c>
      <c r="E17" s="16" t="str">
        <f>IFERROR(VLOOKUP(Lectura!A17,Tabla1[],4,FALSE),"No")</f>
        <v>No</v>
      </c>
      <c r="F17" s="19" t="str">
        <f t="shared" si="0"/>
        <v>F5 A3 50 D6 ROBO</v>
      </c>
      <c r="G17" s="17">
        <f t="shared" si="1"/>
        <v>301</v>
      </c>
    </row>
    <row r="18" spans="1:7" x14ac:dyDescent="0.25">
      <c r="A18" s="7" t="str">
        <f>lectura_datos[[#This Row],[ID]]</f>
        <v>F5 A3 50 D6</v>
      </c>
      <c r="B18" s="15">
        <f>lectura_datos[[#This Row],[PESO]]</f>
        <v>742</v>
      </c>
      <c r="C18" s="13">
        <f>lectura_datos[[#This Row],[FECHA]]</f>
        <v>43207</v>
      </c>
      <c r="D18" s="14">
        <f>lectura_datos[[#This Row],[HORA]]</f>
        <v>0.86354166666666665</v>
      </c>
      <c r="E18" s="16" t="str">
        <f>IFERROR(VLOOKUP(Lectura!A18,Tabla1[],4,FALSE),"No")</f>
        <v>Sí</v>
      </c>
      <c r="F18" s="19" t="str">
        <f t="shared" si="0"/>
        <v/>
      </c>
      <c r="G18" s="17" t="str">
        <f t="shared" si="1"/>
        <v/>
      </c>
    </row>
    <row r="19" spans="1:7" x14ac:dyDescent="0.25">
      <c r="A19" s="7" t="str">
        <f>lectura_datos[[#This Row],[ID]]</f>
        <v>ROBO</v>
      </c>
      <c r="B19" s="15">
        <f>lectura_datos[[#This Row],[PESO]]</f>
        <v>673</v>
      </c>
      <c r="C19" s="13">
        <f>lectura_datos[[#This Row],[FECHA]]</f>
        <v>43207</v>
      </c>
      <c r="D19" s="14">
        <f>lectura_datos[[#This Row],[HORA]]</f>
        <v>0.86358796296296292</v>
      </c>
      <c r="E19" s="16" t="str">
        <f>IFERROR(VLOOKUP(Lectura!A19,Tabla1[],4,FALSE),"No")</f>
        <v>No</v>
      </c>
      <c r="F19" s="19" t="str">
        <f t="shared" si="0"/>
        <v>ROBO</v>
      </c>
      <c r="G19" s="17">
        <f t="shared" si="1"/>
        <v>673</v>
      </c>
    </row>
    <row r="20" spans="1:7" x14ac:dyDescent="0.25">
      <c r="A20" s="7" t="str">
        <f>lectura_datos[[#This Row],[ID]]</f>
        <v>ROBO</v>
      </c>
      <c r="B20" s="15">
        <f>lectura_datos[[#This Row],[PESO]]</f>
        <v>893</v>
      </c>
      <c r="C20" s="13">
        <f>lectura_datos[[#This Row],[FECHA]]</f>
        <v>43207</v>
      </c>
      <c r="D20" s="14">
        <f>lectura_datos[[#This Row],[HORA]]</f>
        <v>0.86359953703703707</v>
      </c>
      <c r="E20" s="16" t="str">
        <f>IFERROR(VLOOKUP(Lectura!A20,Tabla1[],4,FALSE),"No")</f>
        <v>No</v>
      </c>
      <c r="F20" s="19" t="str">
        <f t="shared" si="0"/>
        <v>ROBO</v>
      </c>
      <c r="G20" s="17">
        <f t="shared" si="1"/>
        <v>893</v>
      </c>
    </row>
    <row r="21" spans="1:7" x14ac:dyDescent="0.25">
      <c r="A21" s="7" t="str">
        <f>lectura_datos[[#This Row],[ID]]</f>
        <v>ROBO</v>
      </c>
      <c r="B21" s="15">
        <f>lectura_datos[[#This Row],[PESO]]</f>
        <v>32</v>
      </c>
      <c r="C21" s="13">
        <f>lectura_datos[[#This Row],[FECHA]]</f>
        <v>43207</v>
      </c>
      <c r="D21" s="14">
        <f>lectura_datos[[#This Row],[HORA]]</f>
        <v>0.86361111111111111</v>
      </c>
      <c r="E21" s="16" t="str">
        <f>IFERROR(VLOOKUP(Lectura!A21,Tabla1[],4,FALSE),"No")</f>
        <v>No</v>
      </c>
      <c r="F21" s="19" t="str">
        <f t="shared" si="0"/>
        <v>ROBO</v>
      </c>
      <c r="G21" s="17">
        <f t="shared" si="1"/>
        <v>32</v>
      </c>
    </row>
    <row r="22" spans="1:7" x14ac:dyDescent="0.25">
      <c r="A22" s="7" t="str">
        <f>lectura_datos[[#This Row],[ID]]</f>
        <v>F5 A3 50 D6 ROBO</v>
      </c>
      <c r="B22" s="15">
        <f>lectura_datos[[#This Row],[PESO]]</f>
        <v>706</v>
      </c>
      <c r="C22" s="13">
        <f>lectura_datos[[#This Row],[FECHA]]</f>
        <v>43207</v>
      </c>
      <c r="D22" s="14">
        <f>lectura_datos[[#This Row],[HORA]]</f>
        <v>0.86436342592592597</v>
      </c>
      <c r="E22" s="16" t="str">
        <f>IFERROR(VLOOKUP(Lectura!A22,Tabla1[],4,FALSE),"No")</f>
        <v>No</v>
      </c>
      <c r="F22" s="19" t="str">
        <f t="shared" si="0"/>
        <v>F5 A3 50 D6 ROBO</v>
      </c>
      <c r="G22" s="17">
        <f t="shared" si="1"/>
        <v>706</v>
      </c>
    </row>
    <row r="23" spans="1:7" x14ac:dyDescent="0.25">
      <c r="A23" s="7" t="str">
        <f>lectura_datos[[#This Row],[ID]]</f>
        <v>F5 A3 50 D6</v>
      </c>
      <c r="B23" s="15">
        <f>lectura_datos[[#This Row],[PESO]]</f>
        <v>680</v>
      </c>
      <c r="C23" s="13">
        <f>lectura_datos[[#This Row],[FECHA]]</f>
        <v>43207</v>
      </c>
      <c r="D23" s="14">
        <f>lectura_datos[[#This Row],[HORA]]</f>
        <v>0.86443287037037042</v>
      </c>
      <c r="E23" s="16" t="str">
        <f>IFERROR(VLOOKUP(Lectura!A23,Tabla1[],4,FALSE),"No")</f>
        <v>Sí</v>
      </c>
      <c r="F23" s="19" t="str">
        <f t="shared" si="0"/>
        <v/>
      </c>
      <c r="G23" s="17" t="str">
        <f t="shared" si="1"/>
        <v/>
      </c>
    </row>
    <row r="24" spans="1:7" x14ac:dyDescent="0.25">
      <c r="A24" s="7" t="str">
        <f>lectura_datos[[#This Row],[ID]]</f>
        <v>ROBO</v>
      </c>
      <c r="B24" s="15">
        <f>lectura_datos[[#This Row],[PESO]]</f>
        <v>124</v>
      </c>
      <c r="C24" s="13">
        <f>lectura_datos[[#This Row],[FECHA]]</f>
        <v>43207</v>
      </c>
      <c r="D24" s="14">
        <f>lectura_datos[[#This Row],[HORA]]</f>
        <v>0.86443287037037042</v>
      </c>
      <c r="E24" s="16" t="str">
        <f>IFERROR(VLOOKUP(Lectura!A24,Tabla1[],4,FALSE),"No")</f>
        <v>No</v>
      </c>
      <c r="F24" s="19" t="str">
        <f t="shared" si="0"/>
        <v>ROBO</v>
      </c>
      <c r="G24" s="17">
        <f t="shared" si="1"/>
        <v>124</v>
      </c>
    </row>
    <row r="25" spans="1:7" x14ac:dyDescent="0.25">
      <c r="A25" s="7" t="str">
        <f>lectura_datos[[#This Row],[ID]]</f>
        <v>F5 A3 50 D6</v>
      </c>
      <c r="B25" s="15">
        <f>lectura_datos[[#This Row],[PESO]]</f>
        <v>652</v>
      </c>
      <c r="C25" s="13">
        <f>lectura_datos[[#This Row],[FECHA]]</f>
        <v>43207</v>
      </c>
      <c r="D25" s="14">
        <f>lectura_datos[[#This Row],[HORA]]</f>
        <v>0.86447916666666669</v>
      </c>
      <c r="E25" s="16" t="str">
        <f>IFERROR(VLOOKUP(Lectura!A25,Tabla1[],4,FALSE),"No")</f>
        <v>Sí</v>
      </c>
      <c r="F25" s="19" t="str">
        <f t="shared" si="0"/>
        <v/>
      </c>
      <c r="G25" s="17" t="str">
        <f t="shared" si="1"/>
        <v/>
      </c>
    </row>
    <row r="26" spans="1:7" x14ac:dyDescent="0.25">
      <c r="A26" s="7" t="str">
        <f>lectura_datos[[#This Row],[ID]]</f>
        <v>F5 A3 50 D6</v>
      </c>
      <c r="B26" s="15">
        <f>lectura_datos[[#This Row],[PESO]]</f>
        <v>820</v>
      </c>
      <c r="C26" s="13">
        <f>lectura_datos[[#This Row],[FECHA]]</f>
        <v>43207</v>
      </c>
      <c r="D26" s="14">
        <f>lectura_datos[[#This Row],[HORA]]</f>
        <v>0.86451388888888892</v>
      </c>
      <c r="E26" s="16" t="str">
        <f>IFERROR(VLOOKUP(Lectura!A26,Tabla1[],4,FALSE),"No")</f>
        <v>Sí</v>
      </c>
      <c r="F26" s="19" t="str">
        <f t="shared" si="0"/>
        <v/>
      </c>
      <c r="G26" s="17" t="str">
        <f t="shared" si="1"/>
        <v/>
      </c>
    </row>
    <row r="27" spans="1:7" x14ac:dyDescent="0.25">
      <c r="A27" s="7" t="str">
        <f>lectura_datos[[#This Row],[ID]]</f>
        <v>ROBO</v>
      </c>
      <c r="B27" s="15">
        <f>lectura_datos[[#This Row],[PESO]]</f>
        <v>910</v>
      </c>
      <c r="C27" s="13">
        <f>lectura_datos[[#This Row],[FECHA]]</f>
        <v>43207</v>
      </c>
      <c r="D27" s="14">
        <f>lectura_datos[[#This Row],[HORA]]</f>
        <v>0.86453703703703699</v>
      </c>
      <c r="E27" s="16" t="str">
        <f>IFERROR(VLOOKUP(Lectura!A27,Tabla1[],4,FALSE),"No")</f>
        <v>No</v>
      </c>
      <c r="F27" s="19" t="str">
        <f t="shared" si="0"/>
        <v>ROBO</v>
      </c>
      <c r="G27" s="17">
        <f t="shared" si="1"/>
        <v>910</v>
      </c>
    </row>
    <row r="28" spans="1:7" x14ac:dyDescent="0.25">
      <c r="A28" s="7" t="str">
        <f>lectura_datos[[#This Row],[ID]]</f>
        <v>F5 A3 50 D6 ROBO</v>
      </c>
      <c r="B28" s="15">
        <f>lectura_datos[[#This Row],[PESO]]</f>
        <v>536</v>
      </c>
      <c r="C28" s="13">
        <f>lectura_datos[[#This Row],[FECHA]]</f>
        <v>43207</v>
      </c>
      <c r="D28" s="14">
        <f>lectura_datos[[#This Row],[HORA]]</f>
        <v>0.97340277777777773</v>
      </c>
      <c r="E28" s="16" t="str">
        <f>IFERROR(VLOOKUP(Lectura!A28,Tabla1[],4,FALSE),"No")</f>
        <v>No</v>
      </c>
      <c r="F28" s="19" t="str">
        <f t="shared" si="0"/>
        <v>F5 A3 50 D6 ROBO</v>
      </c>
      <c r="G28" s="17">
        <f t="shared" si="1"/>
        <v>536</v>
      </c>
    </row>
    <row r="29" spans="1:7" x14ac:dyDescent="0.25">
      <c r="A29" s="7" t="str">
        <f>lectura_datos[[#This Row],[ID]]</f>
        <v>F5 A3 50 D6</v>
      </c>
      <c r="B29" s="15">
        <f>lectura_datos[[#This Row],[PESO]]</f>
        <v>608</v>
      </c>
      <c r="C29" s="13">
        <f>lectura_datos[[#This Row],[FECHA]]</f>
        <v>43207</v>
      </c>
      <c r="D29" s="14">
        <f>lectura_datos[[#This Row],[HORA]]</f>
        <v>0.97347222222222218</v>
      </c>
      <c r="E29" s="16" t="str">
        <f>IFERROR(VLOOKUP(Lectura!A29,Tabla1[],4,FALSE),"No")</f>
        <v>Sí</v>
      </c>
      <c r="F29" s="19" t="str">
        <f t="shared" si="0"/>
        <v/>
      </c>
      <c r="G29" s="17" t="str">
        <f t="shared" si="1"/>
        <v/>
      </c>
    </row>
    <row r="30" spans="1:7" x14ac:dyDescent="0.25">
      <c r="A30" s="7" t="str">
        <f>lectura_datos[[#This Row],[ID]]</f>
        <v>A4 A5 28 EB</v>
      </c>
      <c r="B30" s="15">
        <f>lectura_datos[[#This Row],[PESO]]</f>
        <v>755</v>
      </c>
      <c r="C30" s="13">
        <f>lectura_datos[[#This Row],[FECHA]]</f>
        <v>43207</v>
      </c>
      <c r="D30" s="14">
        <f>lectura_datos[[#This Row],[HORA]]</f>
        <v>0.9735300925925926</v>
      </c>
      <c r="E30" s="16" t="str">
        <f>IFERROR(VLOOKUP(Lectura!A30,Tabla1[],4,FALSE),"No")</f>
        <v>No</v>
      </c>
      <c r="F30" s="19" t="str">
        <f t="shared" si="0"/>
        <v>A4 A5 28 EB</v>
      </c>
      <c r="G30" s="17">
        <f t="shared" si="1"/>
        <v>755</v>
      </c>
    </row>
    <row r="31" spans="1:7" x14ac:dyDescent="0.25">
      <c r="A31" s="7" t="str">
        <f>lectura_datos[[#This Row],[ID]]</f>
        <v>ROBO</v>
      </c>
      <c r="B31" s="15">
        <f>lectura_datos[[#This Row],[PESO]]</f>
        <v>32</v>
      </c>
      <c r="C31" s="13">
        <f>lectura_datos[[#This Row],[FECHA]]</f>
        <v>43207</v>
      </c>
      <c r="D31" s="14">
        <f>lectura_datos[[#This Row],[HORA]]</f>
        <v>0.97354166666666664</v>
      </c>
      <c r="E31" s="16" t="str">
        <f>IFERROR(VLOOKUP(Lectura!A31,Tabla1[],4,FALSE),"No")</f>
        <v>No</v>
      </c>
      <c r="F31" s="19" t="str">
        <f t="shared" si="0"/>
        <v>ROBO</v>
      </c>
      <c r="G31" s="17">
        <f t="shared" si="1"/>
        <v>32</v>
      </c>
    </row>
    <row r="32" spans="1:7" x14ac:dyDescent="0.25">
      <c r="A32" s="7" t="str">
        <f>lectura_datos[[#This Row],[ID]]</f>
        <v>ROBO</v>
      </c>
      <c r="B32" s="15">
        <f>lectura_datos[[#This Row],[PESO]]</f>
        <v>707</v>
      </c>
      <c r="C32" s="13">
        <f>lectura_datos[[#This Row],[FECHA]]</f>
        <v>43207</v>
      </c>
      <c r="D32" s="14">
        <f>lectura_datos[[#This Row],[HORA]]</f>
        <v>0.97359953703703705</v>
      </c>
      <c r="E32" s="16" t="str">
        <f>IFERROR(VLOOKUP(Lectura!A32,Tabla1[],4,FALSE),"No")</f>
        <v>No</v>
      </c>
      <c r="F32" s="19" t="str">
        <f t="shared" si="0"/>
        <v>ROBO</v>
      </c>
      <c r="G32" s="17">
        <f t="shared" si="1"/>
        <v>707</v>
      </c>
    </row>
    <row r="33" spans="1:8" x14ac:dyDescent="0.25">
      <c r="A33" s="7" t="str">
        <f>lectura_datos[[#This Row],[ID]]</f>
        <v>F5 A3 50 D6 ROBO</v>
      </c>
      <c r="B33" s="15">
        <f>lectura_datos[[#This Row],[PESO]]</f>
        <v>828</v>
      </c>
      <c r="C33" s="13">
        <f>lectura_datos[[#This Row],[FECHA]]</f>
        <v>43207</v>
      </c>
      <c r="D33" s="14">
        <f>lectura_datos[[#This Row],[HORA]]</f>
        <v>0.97365740740740736</v>
      </c>
      <c r="E33" s="16" t="str">
        <f>IFERROR(VLOOKUP(Lectura!A33,Tabla1[],4,FALSE),"No")</f>
        <v>No</v>
      </c>
      <c r="F33" s="19" t="str">
        <f t="shared" si="0"/>
        <v>F5 A3 50 D6 ROBO</v>
      </c>
      <c r="G33" s="17">
        <f t="shared" si="1"/>
        <v>828</v>
      </c>
      <c r="H33" s="8"/>
    </row>
    <row r="34" spans="1:8" x14ac:dyDescent="0.25">
      <c r="A34" s="7" t="str">
        <f>lectura_datos[[#This Row],[ID]]</f>
        <v>F5 A3 50 D6</v>
      </c>
      <c r="B34" s="15">
        <f>lectura_datos[[#This Row],[PESO]]</f>
        <v>925</v>
      </c>
      <c r="C34" s="13">
        <f>lectura_datos[[#This Row],[FECHA]]</f>
        <v>43207</v>
      </c>
      <c r="D34" s="14">
        <f>lectura_datos[[#This Row],[HORA]]</f>
        <v>0.97370370370370374</v>
      </c>
      <c r="E34" s="16" t="str">
        <f>IFERROR(VLOOKUP(Lectura!A34,Tabla1[],4,FALSE),"No")</f>
        <v>Sí</v>
      </c>
      <c r="F34" s="19" t="str">
        <f t="shared" si="0"/>
        <v/>
      </c>
      <c r="G34" s="17" t="str">
        <f t="shared" si="1"/>
        <v/>
      </c>
    </row>
    <row r="35" spans="1:8" x14ac:dyDescent="0.25">
      <c r="A35" s="7" t="str">
        <f>lectura_datos[[#This Row],[ID]]</f>
        <v>F5 A3 50 D6 ROBO</v>
      </c>
      <c r="B35" s="15">
        <f>lectura_datos[[#This Row],[PESO]]</f>
        <v>806</v>
      </c>
      <c r="C35" s="13">
        <f>lectura_datos[[#This Row],[FECHA]]</f>
        <v>43207</v>
      </c>
      <c r="D35" s="14">
        <f>lectura_datos[[#This Row],[HORA]]</f>
        <v>0.97393518518518518</v>
      </c>
      <c r="E35" s="16" t="str">
        <f>IFERROR(VLOOKUP(Lectura!A35,Tabla1[],4,FALSE),"No")</f>
        <v>No</v>
      </c>
      <c r="F35" s="19" t="str">
        <f t="shared" si="0"/>
        <v>F5 A3 50 D6 ROBO</v>
      </c>
      <c r="G35" s="17">
        <f t="shared" si="1"/>
        <v>806</v>
      </c>
    </row>
    <row r="36" spans="1:8" x14ac:dyDescent="0.25">
      <c r="A36" s="7" t="str">
        <f>lectura_datos[[#This Row],[ID]]</f>
        <v>F5 A3 50 D6</v>
      </c>
      <c r="B36" s="15">
        <f>lectura_datos[[#This Row],[PESO]]</f>
        <v>698</v>
      </c>
      <c r="C36" s="13">
        <f>lectura_datos[[#This Row],[FECHA]]</f>
        <v>43207</v>
      </c>
      <c r="D36" s="14">
        <f>lectura_datos[[#This Row],[HORA]]</f>
        <v>0.97402777777777783</v>
      </c>
      <c r="E36" s="16" t="str">
        <f>IFERROR(VLOOKUP(Lectura!A36,Tabla1[],4,FALSE),"No")</f>
        <v>Sí</v>
      </c>
      <c r="F36" s="19" t="str">
        <f t="shared" si="0"/>
        <v/>
      </c>
      <c r="G36" s="17" t="str">
        <f t="shared" si="1"/>
        <v/>
      </c>
    </row>
    <row r="37" spans="1:8" x14ac:dyDescent="0.25">
      <c r="A37" s="7" t="str">
        <f>lectura_datos[[#This Row],[ID]]</f>
        <v>A4 A5 28 EB ROBO</v>
      </c>
      <c r="B37" s="15">
        <f>lectura_datos[[#This Row],[PESO]]</f>
        <v>676</v>
      </c>
      <c r="C37" s="13">
        <f>lectura_datos[[#This Row],[FECHA]]</f>
        <v>43207</v>
      </c>
      <c r="D37" s="14">
        <f>lectura_datos[[#This Row],[HORA]]</f>
        <v>0.97408564814814813</v>
      </c>
      <c r="E37" s="16" t="str">
        <f>IFERROR(VLOOKUP(Lectura!A37,Tabla1[],4,FALSE),"No")</f>
        <v>No</v>
      </c>
      <c r="F37" s="19" t="str">
        <f t="shared" si="0"/>
        <v>A4 A5 28 EB ROBO</v>
      </c>
      <c r="G37" s="17">
        <f t="shared" si="1"/>
        <v>676</v>
      </c>
    </row>
    <row r="38" spans="1:8" x14ac:dyDescent="0.25">
      <c r="A38" s="7" t="str">
        <f>lectura_datos[[#This Row],[ID]]</f>
        <v>A4 A5 28 EB ROBO</v>
      </c>
      <c r="B38" s="15">
        <f>lectura_datos[[#This Row],[PESO]]</f>
        <v>804</v>
      </c>
      <c r="C38" s="13">
        <f>lectura_datos[[#This Row],[FECHA]]</f>
        <v>43207</v>
      </c>
      <c r="D38" s="14">
        <f>lectura_datos[[#This Row],[HORA]]</f>
        <v>0.97414351851851855</v>
      </c>
      <c r="E38" s="16" t="str">
        <f>IFERROR(VLOOKUP(Lectura!A38,Tabla1[],4,FALSE),"No")</f>
        <v>No</v>
      </c>
      <c r="F38" s="19" t="str">
        <f t="shared" si="0"/>
        <v>A4 A5 28 EB ROBO</v>
      </c>
      <c r="G38" s="17">
        <f t="shared" si="1"/>
        <v>804</v>
      </c>
    </row>
    <row r="39" spans="1:8" x14ac:dyDescent="0.25">
      <c r="A39" s="7" t="str">
        <f>lectura_datos[[#This Row],[ID]]</f>
        <v>ROBO</v>
      </c>
      <c r="B39" s="15">
        <f>lectura_datos[[#This Row],[PESO]]</f>
        <v>871</v>
      </c>
      <c r="C39" s="13">
        <f>lectura_datos[[#This Row],[FECHA]]</f>
        <v>43207</v>
      </c>
      <c r="D39" s="14">
        <f>lectura_datos[[#This Row],[HORA]]</f>
        <v>0.97418981481481481</v>
      </c>
      <c r="E39" s="16" t="str">
        <f>IFERROR(VLOOKUP(Lectura!A39,Tabla1[],4,FALSE),"No")</f>
        <v>No</v>
      </c>
      <c r="F39" s="19" t="str">
        <f t="shared" si="0"/>
        <v>ROBO</v>
      </c>
      <c r="G39" s="17">
        <f t="shared" si="1"/>
        <v>871</v>
      </c>
    </row>
    <row r="40" spans="1:8" x14ac:dyDescent="0.25">
      <c r="A40" s="7" t="str">
        <f>lectura_datos[[#This Row],[ID]]</f>
        <v>F5 A3 50 D6</v>
      </c>
      <c r="B40" s="15">
        <f>lectura_datos[[#This Row],[PESO]]</f>
        <v>772</v>
      </c>
      <c r="C40" s="13">
        <f>lectura_datos[[#This Row],[FECHA]]</f>
        <v>43207</v>
      </c>
      <c r="D40" s="14">
        <f>lectura_datos[[#This Row],[HORA]]</f>
        <v>0.97423611111111108</v>
      </c>
      <c r="E40" s="16" t="str">
        <f>IFERROR(VLOOKUP(Lectura!A40,Tabla1[],4,FALSE),"No")</f>
        <v>Sí</v>
      </c>
      <c r="F40" s="19" t="str">
        <f t="shared" si="0"/>
        <v/>
      </c>
      <c r="G40" s="17" t="str">
        <f t="shared" si="1"/>
        <v/>
      </c>
    </row>
    <row r="41" spans="1:8" x14ac:dyDescent="0.25">
      <c r="A41" s="7" t="str">
        <f>lectura_datos[[#This Row],[ID]]</f>
        <v>F5 A3 50 D6</v>
      </c>
      <c r="B41" s="15">
        <f>lectura_datos[[#This Row],[PESO]]</f>
        <v>710</v>
      </c>
      <c r="C41" s="13">
        <f>lectura_datos[[#This Row],[FECHA]]</f>
        <v>43207</v>
      </c>
      <c r="D41" s="14">
        <f>lectura_datos[[#This Row],[HORA]]</f>
        <v>0.97649305555555554</v>
      </c>
      <c r="E41" s="16" t="str">
        <f>IFERROR(VLOOKUP(Lectura!A41,Tabla1[],4,FALSE),"No")</f>
        <v>Sí</v>
      </c>
      <c r="F41" s="19" t="str">
        <f t="shared" si="0"/>
        <v/>
      </c>
      <c r="G41" s="17" t="str">
        <f t="shared" si="1"/>
        <v/>
      </c>
    </row>
    <row r="42" spans="1:8" x14ac:dyDescent="0.25">
      <c r="A42" s="7" t="str">
        <f>lectura_datos[[#This Row],[ID]]</f>
        <v>ROBO</v>
      </c>
      <c r="B42" s="15">
        <f>lectura_datos[[#This Row],[PESO]]</f>
        <v>840</v>
      </c>
      <c r="C42" s="13">
        <f>lectura_datos[[#This Row],[FECHA]]</f>
        <v>43207</v>
      </c>
      <c r="D42" s="14">
        <f>lectura_datos[[#This Row],[HORA]]</f>
        <v>0.97651620370370373</v>
      </c>
      <c r="E42" s="16" t="str">
        <f>IFERROR(VLOOKUP(Lectura!A42,Tabla1[],4,FALSE),"No")</f>
        <v>No</v>
      </c>
      <c r="F42" s="19" t="str">
        <f t="shared" si="0"/>
        <v>ROBO</v>
      </c>
      <c r="G42" s="17">
        <f t="shared" si="1"/>
        <v>840</v>
      </c>
    </row>
    <row r="43" spans="1:8" x14ac:dyDescent="0.25">
      <c r="A43" s="7" t="str">
        <f>lectura_datos[[#This Row],[ID]]</f>
        <v>F5 A3 50 D6 ROBO</v>
      </c>
      <c r="B43" s="15">
        <f>lectura_datos[[#This Row],[PESO]]</f>
        <v>611</v>
      </c>
      <c r="C43" s="13">
        <f>lectura_datos[[#This Row],[FECHA]]</f>
        <v>43207</v>
      </c>
      <c r="D43" s="14">
        <f>lectura_datos[[#This Row],[HORA]]</f>
        <v>0.9775462962962963</v>
      </c>
      <c r="E43" s="16" t="str">
        <f>IFERROR(VLOOKUP(Lectura!A43,Tabla1[],4,FALSE),"No")</f>
        <v>No</v>
      </c>
      <c r="F43" s="19" t="str">
        <f t="shared" si="0"/>
        <v>F5 A3 50 D6 ROBO</v>
      </c>
      <c r="G43" s="17">
        <f t="shared" si="1"/>
        <v>611</v>
      </c>
    </row>
    <row r="44" spans="1:8" x14ac:dyDescent="0.25">
      <c r="A44" s="7" t="str">
        <f>lectura_datos[[#This Row],[ID]]</f>
        <v>F5 A3 50 D6</v>
      </c>
      <c r="B44" s="15">
        <f>lectura_datos[[#This Row],[PESO]]</f>
        <v>682</v>
      </c>
      <c r="C44" s="13">
        <f>lectura_datos[[#This Row],[FECHA]]</f>
        <v>43207</v>
      </c>
      <c r="D44" s="14">
        <f>lectura_datos[[#This Row],[HORA]]</f>
        <v>0.97761574074074076</v>
      </c>
      <c r="E44" s="16" t="str">
        <f>IFERROR(VLOOKUP(Lectura!A44,Tabla1[],4,FALSE),"No")</f>
        <v>Sí</v>
      </c>
      <c r="F44" s="19" t="str">
        <f t="shared" si="0"/>
        <v/>
      </c>
      <c r="G44" s="17" t="str">
        <f t="shared" si="1"/>
        <v/>
      </c>
    </row>
    <row r="45" spans="1:8" x14ac:dyDescent="0.25">
      <c r="A45" s="7" t="str">
        <f>lectura_datos[[#This Row],[ID]]</f>
        <v>A4 A5 28 EB</v>
      </c>
      <c r="B45" s="15">
        <f>lectura_datos[[#This Row],[PESO]]</f>
        <v>899</v>
      </c>
      <c r="C45" s="13">
        <f>lectura_datos[[#This Row],[FECHA]]</f>
        <v>43207</v>
      </c>
      <c r="D45" s="14">
        <f>lectura_datos[[#This Row],[HORA]]</f>
        <v>0.97766203703703702</v>
      </c>
      <c r="E45" s="16" t="str">
        <f>IFERROR(VLOOKUP(Lectura!A45,Tabla1[],4,FALSE),"No")</f>
        <v>No</v>
      </c>
      <c r="F45" s="19" t="str">
        <f t="shared" si="0"/>
        <v>A4 A5 28 EB</v>
      </c>
      <c r="G45" s="17">
        <f t="shared" si="1"/>
        <v>899</v>
      </c>
    </row>
    <row r="46" spans="1:8" x14ac:dyDescent="0.25">
      <c r="A46" s="7" t="str">
        <f>lectura_datos[[#This Row],[ID]]</f>
        <v>ROBO</v>
      </c>
      <c r="B46" s="15">
        <f>lectura_datos[[#This Row],[PESO]]</f>
        <v>547</v>
      </c>
      <c r="C46" s="13">
        <f>lectura_datos[[#This Row],[FECHA]]</f>
        <v>43207</v>
      </c>
      <c r="D46" s="14">
        <f>lectura_datos[[#This Row],[HORA]]</f>
        <v>0.97770833333333329</v>
      </c>
      <c r="E46" s="16" t="str">
        <f>IFERROR(VLOOKUP(Lectura!A46,Tabla1[],4,FALSE),"No")</f>
        <v>No</v>
      </c>
      <c r="F46" s="19" t="str">
        <f t="shared" si="0"/>
        <v>ROBO</v>
      </c>
      <c r="G46" s="17">
        <f t="shared" si="1"/>
        <v>547</v>
      </c>
    </row>
    <row r="47" spans="1:8" x14ac:dyDescent="0.25">
      <c r="A47" s="7" t="str">
        <f>lectura_datos[[#This Row],[ID]]</f>
        <v>ROBO</v>
      </c>
      <c r="B47" s="15">
        <f>lectura_datos[[#This Row],[PESO]]</f>
        <v>30</v>
      </c>
      <c r="C47" s="13">
        <f>lectura_datos[[#This Row],[FECHA]]</f>
        <v>43207</v>
      </c>
      <c r="D47" s="14">
        <f>lectura_datos[[#This Row],[HORA]]</f>
        <v>0.97774305555555552</v>
      </c>
      <c r="E47" s="16" t="str">
        <f>IFERROR(VLOOKUP(Lectura!A47,Tabla1[],4,FALSE),"No")</f>
        <v>No</v>
      </c>
      <c r="F47" s="19" t="str">
        <f t="shared" si="0"/>
        <v>ROBO</v>
      </c>
      <c r="G47" s="17">
        <f t="shared" si="1"/>
        <v>30</v>
      </c>
    </row>
    <row r="48" spans="1:8" x14ac:dyDescent="0.25">
      <c r="A48" s="7" t="str">
        <f>lectura_datos[[#This Row],[ID]]</f>
        <v>F5 A3 50 D6</v>
      </c>
      <c r="B48" s="15">
        <f>lectura_datos[[#This Row],[PESO]]</f>
        <v>493</v>
      </c>
      <c r="C48" s="13">
        <f>lectura_datos[[#This Row],[FECHA]]</f>
        <v>43207</v>
      </c>
      <c r="D48" s="14">
        <f>lectura_datos[[#This Row],[HORA]]</f>
        <v>0.97775462962962967</v>
      </c>
      <c r="E48" s="16" t="str">
        <f>IFERROR(VLOOKUP(Lectura!A48,Tabla1[],4,FALSE),"No")</f>
        <v>Sí</v>
      </c>
      <c r="F48" s="19" t="str">
        <f t="shared" si="0"/>
        <v/>
      </c>
      <c r="G48" s="17" t="str">
        <f t="shared" si="1"/>
        <v/>
      </c>
    </row>
    <row r="49" spans="1:9" x14ac:dyDescent="0.25">
      <c r="A49" s="7" t="str">
        <f>lectura_datos[[#This Row],[ID]]</f>
        <v>ROBO</v>
      </c>
      <c r="B49" s="15">
        <f>lectura_datos[[#This Row],[PESO]]</f>
        <v>195</v>
      </c>
      <c r="C49" s="13">
        <f>lectura_datos[[#This Row],[FECHA]]</f>
        <v>43207</v>
      </c>
      <c r="D49" s="14">
        <f>lectura_datos[[#This Row],[HORA]]</f>
        <v>0.97776620370370371</v>
      </c>
      <c r="E49" s="16" t="str">
        <f>IFERROR(VLOOKUP(Lectura!A49,Tabla1[],4,FALSE),"No")</f>
        <v>No</v>
      </c>
      <c r="F49" s="19" t="str">
        <f t="shared" si="0"/>
        <v>ROBO</v>
      </c>
      <c r="G49" s="17">
        <f t="shared" si="1"/>
        <v>195</v>
      </c>
    </row>
    <row r="50" spans="1:9" x14ac:dyDescent="0.25">
      <c r="A50" s="7" t="str">
        <f>lectura_datos[[#This Row],[ID]]</f>
        <v>F5 A3 50 D6</v>
      </c>
      <c r="B50" s="15">
        <f>lectura_datos[[#This Row],[PESO]]</f>
        <v>1000</v>
      </c>
      <c r="C50" s="13">
        <f>lectura_datos[[#This Row],[FECHA]]</f>
        <v>43207</v>
      </c>
      <c r="D50" s="14">
        <f>lectura_datos[[#This Row],[HORA]]</f>
        <v>0.97781249999999997</v>
      </c>
      <c r="E50" s="16" t="str">
        <f>IFERROR(VLOOKUP(Lectura!A50,Tabla1[],4,FALSE),"No")</f>
        <v>Sí</v>
      </c>
      <c r="F50" s="19" t="str">
        <f t="shared" si="0"/>
        <v/>
      </c>
      <c r="G50" s="17" t="str">
        <f t="shared" si="1"/>
        <v/>
      </c>
    </row>
    <row r="51" spans="1:9" x14ac:dyDescent="0.25">
      <c r="A51" s="7" t="e">
        <f>lectura_datos[[#This Row],[ID]]</f>
        <v>#VALUE!</v>
      </c>
      <c r="B51" s="15" t="e">
        <f>lectura_datos[[#This Row],[PESO]]</f>
        <v>#VALUE!</v>
      </c>
      <c r="C51" s="13" t="e">
        <f>lectura_datos[[#This Row],[FECHA]]</f>
        <v>#VALUE!</v>
      </c>
      <c r="D51" s="14" t="e">
        <f>lectura_datos[[#This Row],[HORA]]</f>
        <v>#VALUE!</v>
      </c>
      <c r="E51" s="16" t="str">
        <f>IFERROR(VLOOKUP(Lectura!A51,Tabla1[],4,FALSE),"No")</f>
        <v>No</v>
      </c>
      <c r="F51" s="19" t="e">
        <f t="shared" si="0"/>
        <v>#VALUE!</v>
      </c>
      <c r="G51" s="17" t="e">
        <f t="shared" si="1"/>
        <v>#VALUE!</v>
      </c>
      <c r="I51" s="8"/>
    </row>
  </sheetData>
  <autoFilter ref="A1:D17" xr:uid="{95BCA62D-1607-4449-A4E3-D5AFE11D0397}"/>
  <conditionalFormatting sqref="E2:E51">
    <cfRule type="containsText" dxfId="8" priority="19" operator="containsText" text="No">
      <formula>NOT(ISERROR(SEARCH("No",E2)))</formula>
    </cfRule>
  </conditionalFormatting>
  <conditionalFormatting sqref="E2:E51">
    <cfRule type="cellIs" dxfId="7" priority="17" operator="equal">
      <formula>"Sí"</formula>
    </cfRule>
    <cfRule type="containsText" dxfId="6" priority="18" operator="containsText" text="Si">
      <formula>NOT(ISERROR(SEARCH("Si",E2)))</formula>
    </cfRule>
  </conditionalFormatting>
  <conditionalFormatting sqref="E2:E51">
    <cfRule type="containsErrors" dxfId="5" priority="27">
      <formula>ISERROR(E2)</formula>
    </cfRule>
  </conditionalFormatting>
  <conditionalFormatting sqref="A2:D51">
    <cfRule type="containsErrors" dxfId="4" priority="26">
      <formula>ISERROR(A2)</formula>
    </cfRule>
  </conditionalFormatting>
  <conditionalFormatting sqref="F2:G51">
    <cfRule type="containsBlanks" dxfId="3" priority="29">
      <formula>LEN(TRIM(F2))=0</formula>
    </cfRule>
    <cfRule type="containsErrors" dxfId="2" priority="30">
      <formula>ISERROR(F2)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5B89C-64E8-4CA5-BA0F-3CE54950DC05}">
  <dimension ref="A2:F11"/>
  <sheetViews>
    <sheetView tabSelected="1" workbookViewId="0">
      <selection activeCell="B8" sqref="B8"/>
    </sheetView>
  </sheetViews>
  <sheetFormatPr baseColWidth="10" defaultRowHeight="15" x14ac:dyDescent="0.25"/>
  <cols>
    <col min="2" max="2" width="18.140625" bestFit="1" customWidth="1"/>
    <col min="3" max="3" width="18.28515625" bestFit="1" customWidth="1"/>
    <col min="4" max="4" width="13.28515625" customWidth="1"/>
  </cols>
  <sheetData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5" t="s">
        <v>0</v>
      </c>
      <c r="C3" s="5" t="s">
        <v>12</v>
      </c>
      <c r="D3" s="5" t="s">
        <v>1</v>
      </c>
      <c r="E3" s="5" t="s">
        <v>8</v>
      </c>
      <c r="F3" s="1"/>
    </row>
    <row r="4" spans="1:6" x14ac:dyDescent="0.25">
      <c r="A4" s="20" t="s">
        <v>13</v>
      </c>
      <c r="B4" s="3" t="s">
        <v>18</v>
      </c>
      <c r="C4" s="3" t="s">
        <v>9</v>
      </c>
      <c r="D4" s="3" t="s">
        <v>2</v>
      </c>
      <c r="E4" s="3" t="s">
        <v>6</v>
      </c>
      <c r="F4" s="1"/>
    </row>
    <row r="5" spans="1:6" x14ac:dyDescent="0.25">
      <c r="A5" s="20" t="s">
        <v>14</v>
      </c>
      <c r="B5" s="4" t="s">
        <v>19</v>
      </c>
      <c r="C5" s="4" t="s">
        <v>10</v>
      </c>
      <c r="D5" s="4" t="s">
        <v>3</v>
      </c>
      <c r="E5" s="4" t="s">
        <v>6</v>
      </c>
      <c r="F5" s="1"/>
    </row>
    <row r="6" spans="1:6" x14ac:dyDescent="0.25">
      <c r="A6" s="20" t="s">
        <v>15</v>
      </c>
      <c r="B6" s="3" t="s">
        <v>20</v>
      </c>
      <c r="C6" s="3" t="s">
        <v>11</v>
      </c>
      <c r="D6" s="3" t="s">
        <v>4</v>
      </c>
      <c r="E6" s="3" t="s">
        <v>7</v>
      </c>
      <c r="F6" s="1"/>
    </row>
    <row r="7" spans="1:6" x14ac:dyDescent="0.25">
      <c r="A7" s="20" t="s">
        <v>16</v>
      </c>
      <c r="B7" s="4" t="s">
        <v>21</v>
      </c>
      <c r="C7" s="4" t="s">
        <v>17</v>
      </c>
      <c r="D7" s="4" t="s">
        <v>5</v>
      </c>
      <c r="E7" s="4" t="s">
        <v>7</v>
      </c>
      <c r="F7" s="1"/>
    </row>
    <row r="8" spans="1:6" x14ac:dyDescent="0.25">
      <c r="A8" s="2"/>
      <c r="B8" s="2"/>
      <c r="C8" s="1"/>
      <c r="D8" s="1"/>
      <c r="E8" s="1"/>
      <c r="F8" s="1"/>
    </row>
    <row r="11" spans="1:6" x14ac:dyDescent="0.25">
      <c r="C11" s="1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C1D043-BEE2-4294-9603-577C1AF1DB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Lectura</vt:lpstr>
      <vt:lpstr>Registro</vt:lpstr>
      <vt:lpstr>BBDD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Romero Pomar</dc:creator>
  <cp:lastModifiedBy>Santiago Romero Pomar</cp:lastModifiedBy>
  <dcterms:created xsi:type="dcterms:W3CDTF">2018-03-21T10:50:41Z</dcterms:created>
  <dcterms:modified xsi:type="dcterms:W3CDTF">2018-05-15T16:25:20Z</dcterms:modified>
</cp:coreProperties>
</file>