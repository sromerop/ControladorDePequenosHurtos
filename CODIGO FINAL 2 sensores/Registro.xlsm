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ome\Desktop\ETSIT\ELCO\CODIGO FINAL 2 sensores\"/>
    </mc:Choice>
  </mc:AlternateContent>
  <xr:revisionPtr revIDLastSave="0" documentId="13_ncr:1_{32C3A2FC-6F12-4FE3-B93C-D132F1803DB7}" xr6:coauthVersionLast="32" xr6:coauthVersionMax="32" xr10:uidLastSave="{00000000-0000-0000-0000-000000000000}"/>
  <bookViews>
    <workbookView xWindow="0" yWindow="0" windowWidth="15345" windowHeight="5865" activeTab="1" xr2:uid="{CD37E346-320E-4CBB-BE2A-21ECB6076799}"/>
  </bookViews>
  <sheets>
    <sheet name="Lectura" sheetId="2" r:id="rId1"/>
    <sheet name="Registro" sheetId="1" r:id="rId2"/>
    <sheet name="BBDD" sheetId="3" r:id="rId3"/>
  </sheets>
  <functionGroups builtInGroupCount="19"/>
  <definedNames>
    <definedName name="_xlnm._FilterDatabase" localSheetId="1" hidden="1">Registro!$A$1:$F$17</definedName>
    <definedName name="DatosExternos_1" localSheetId="0" hidden="1">Lectura!$A$1:$E$82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3" i="1" l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81" i="1"/>
  <c r="F82" i="1"/>
  <c r="F72" i="1"/>
  <c r="F73" i="1"/>
  <c r="F74" i="1"/>
  <c r="F75" i="1"/>
  <c r="F76" i="1"/>
  <c r="F61" i="1"/>
  <c r="F62" i="1"/>
  <c r="F63" i="1"/>
  <c r="F64" i="1"/>
  <c r="F65" i="1"/>
  <c r="F66" i="1"/>
  <c r="F67" i="1"/>
  <c r="F68" i="1"/>
  <c r="F69" i="1"/>
  <c r="F70" i="1"/>
  <c r="F71" i="1"/>
  <c r="F58" i="1"/>
  <c r="F59" i="1"/>
  <c r="F60" i="1"/>
  <c r="F52" i="1"/>
  <c r="F53" i="1"/>
  <c r="F54" i="1"/>
  <c r="F41" i="1"/>
  <c r="F42" i="1"/>
  <c r="F43" i="1"/>
  <c r="F44" i="1"/>
  <c r="F46" i="1"/>
  <c r="F47" i="1"/>
  <c r="F48" i="1"/>
  <c r="A51" i="1"/>
  <c r="B51" i="1"/>
  <c r="I51" i="1" s="1"/>
  <c r="F51" i="1" s="1"/>
  <c r="C51" i="1"/>
  <c r="D51" i="1"/>
  <c r="E51" i="1"/>
  <c r="A52" i="1"/>
  <c r="B52" i="1"/>
  <c r="I52" i="1" s="1"/>
  <c r="C52" i="1"/>
  <c r="D52" i="1"/>
  <c r="E52" i="1"/>
  <c r="A53" i="1"/>
  <c r="B53" i="1"/>
  <c r="I53" i="1" s="1"/>
  <c r="C53" i="1"/>
  <c r="D53" i="1"/>
  <c r="E53" i="1"/>
  <c r="A54" i="1"/>
  <c r="B54" i="1"/>
  <c r="I54" i="1" s="1"/>
  <c r="C54" i="1"/>
  <c r="D54" i="1"/>
  <c r="E54" i="1"/>
  <c r="A55" i="1"/>
  <c r="B55" i="1"/>
  <c r="I55" i="1" s="1"/>
  <c r="F55" i="1" s="1"/>
  <c r="C55" i="1"/>
  <c r="D55" i="1"/>
  <c r="E55" i="1"/>
  <c r="A56" i="1"/>
  <c r="B56" i="1"/>
  <c r="I56" i="1" s="1"/>
  <c r="F56" i="1" s="1"/>
  <c r="G56" i="1" s="1"/>
  <c r="C56" i="1"/>
  <c r="D56" i="1"/>
  <c r="E56" i="1"/>
  <c r="A57" i="1"/>
  <c r="B57" i="1"/>
  <c r="I57" i="1" s="1"/>
  <c r="F57" i="1" s="1"/>
  <c r="C57" i="1"/>
  <c r="D57" i="1"/>
  <c r="E57" i="1"/>
  <c r="A58" i="1"/>
  <c r="B58" i="1"/>
  <c r="I58" i="1" s="1"/>
  <c r="C58" i="1"/>
  <c r="D58" i="1"/>
  <c r="E58" i="1"/>
  <c r="A59" i="1"/>
  <c r="B59" i="1"/>
  <c r="I59" i="1" s="1"/>
  <c r="C59" i="1"/>
  <c r="D59" i="1"/>
  <c r="E59" i="1"/>
  <c r="A60" i="1"/>
  <c r="B60" i="1"/>
  <c r="I60" i="1" s="1"/>
  <c r="C60" i="1"/>
  <c r="D60" i="1"/>
  <c r="E60" i="1"/>
  <c r="A61" i="1"/>
  <c r="B61" i="1"/>
  <c r="I61" i="1" s="1"/>
  <c r="C61" i="1"/>
  <c r="D61" i="1"/>
  <c r="E61" i="1"/>
  <c r="A62" i="1"/>
  <c r="G62" i="1" s="1"/>
  <c r="B62" i="1"/>
  <c r="I62" i="1" s="1"/>
  <c r="C62" i="1"/>
  <c r="D62" i="1"/>
  <c r="E62" i="1"/>
  <c r="A63" i="1"/>
  <c r="B63" i="1"/>
  <c r="I63" i="1" s="1"/>
  <c r="C63" i="1"/>
  <c r="D63" i="1"/>
  <c r="E63" i="1"/>
  <c r="A64" i="1"/>
  <c r="B64" i="1"/>
  <c r="I64" i="1" s="1"/>
  <c r="C64" i="1"/>
  <c r="D64" i="1"/>
  <c r="E64" i="1"/>
  <c r="A65" i="1"/>
  <c r="B65" i="1"/>
  <c r="I65" i="1" s="1"/>
  <c r="C65" i="1"/>
  <c r="D65" i="1"/>
  <c r="E65" i="1"/>
  <c r="A66" i="1"/>
  <c r="B66" i="1"/>
  <c r="I66" i="1" s="1"/>
  <c r="C66" i="1"/>
  <c r="D66" i="1"/>
  <c r="E66" i="1"/>
  <c r="A67" i="1"/>
  <c r="B67" i="1"/>
  <c r="I67" i="1" s="1"/>
  <c r="C67" i="1"/>
  <c r="D67" i="1"/>
  <c r="E67" i="1"/>
  <c r="A68" i="1"/>
  <c r="B68" i="1"/>
  <c r="I68" i="1" s="1"/>
  <c r="C68" i="1"/>
  <c r="H68" i="1" s="1"/>
  <c r="D68" i="1"/>
  <c r="E68" i="1"/>
  <c r="A69" i="1"/>
  <c r="G69" i="1" s="1"/>
  <c r="B69" i="1"/>
  <c r="I69" i="1" s="1"/>
  <c r="C69" i="1"/>
  <c r="D69" i="1"/>
  <c r="E69" i="1"/>
  <c r="A70" i="1"/>
  <c r="B70" i="1"/>
  <c r="I70" i="1" s="1"/>
  <c r="C70" i="1"/>
  <c r="D70" i="1"/>
  <c r="E70" i="1"/>
  <c r="A71" i="1"/>
  <c r="B71" i="1"/>
  <c r="I71" i="1" s="1"/>
  <c r="C71" i="1"/>
  <c r="D71" i="1"/>
  <c r="E71" i="1"/>
  <c r="A72" i="1"/>
  <c r="B72" i="1"/>
  <c r="I72" i="1" s="1"/>
  <c r="C72" i="1"/>
  <c r="D72" i="1"/>
  <c r="E72" i="1"/>
  <c r="A73" i="1"/>
  <c r="B73" i="1"/>
  <c r="I73" i="1" s="1"/>
  <c r="C73" i="1"/>
  <c r="D73" i="1"/>
  <c r="E73" i="1"/>
  <c r="A74" i="1"/>
  <c r="B74" i="1"/>
  <c r="I74" i="1" s="1"/>
  <c r="C74" i="1"/>
  <c r="D74" i="1"/>
  <c r="E74" i="1"/>
  <c r="A75" i="1"/>
  <c r="B75" i="1"/>
  <c r="I75" i="1" s="1"/>
  <c r="C75" i="1"/>
  <c r="D75" i="1"/>
  <c r="E75" i="1"/>
  <c r="A76" i="1"/>
  <c r="B76" i="1"/>
  <c r="I76" i="1" s="1"/>
  <c r="C76" i="1"/>
  <c r="H76" i="1" s="1"/>
  <c r="D76" i="1"/>
  <c r="E76" i="1"/>
  <c r="A77" i="1"/>
  <c r="B77" i="1"/>
  <c r="I77" i="1" s="1"/>
  <c r="F77" i="1" s="1"/>
  <c r="C77" i="1"/>
  <c r="D77" i="1"/>
  <c r="E77" i="1"/>
  <c r="A78" i="1"/>
  <c r="B78" i="1"/>
  <c r="I78" i="1" s="1"/>
  <c r="F78" i="1" s="1"/>
  <c r="C78" i="1"/>
  <c r="D78" i="1"/>
  <c r="E78" i="1"/>
  <c r="A79" i="1"/>
  <c r="B79" i="1"/>
  <c r="I79" i="1" s="1"/>
  <c r="F79" i="1" s="1"/>
  <c r="C79" i="1"/>
  <c r="D79" i="1"/>
  <c r="E79" i="1"/>
  <c r="A80" i="1"/>
  <c r="B80" i="1"/>
  <c r="I80" i="1" s="1"/>
  <c r="F80" i="1" s="1"/>
  <c r="C80" i="1"/>
  <c r="D80" i="1"/>
  <c r="E80" i="1"/>
  <c r="A81" i="1"/>
  <c r="B81" i="1"/>
  <c r="I81" i="1" s="1"/>
  <c r="C81" i="1"/>
  <c r="D81" i="1"/>
  <c r="E81" i="1"/>
  <c r="A82" i="1"/>
  <c r="B82" i="1"/>
  <c r="I82" i="1" s="1"/>
  <c r="C82" i="1"/>
  <c r="D82" i="1"/>
  <c r="E82" i="1"/>
  <c r="A83" i="1"/>
  <c r="B83" i="1"/>
  <c r="I83" i="1" s="1"/>
  <c r="C83" i="1"/>
  <c r="D83" i="1"/>
  <c r="E83" i="1"/>
  <c r="A84" i="1"/>
  <c r="B84" i="1"/>
  <c r="I84" i="1" s="1"/>
  <c r="C84" i="1"/>
  <c r="H84" i="1" s="1"/>
  <c r="D84" i="1"/>
  <c r="E84" i="1"/>
  <c r="A85" i="1"/>
  <c r="G85" i="1" s="1"/>
  <c r="B85" i="1"/>
  <c r="C85" i="1"/>
  <c r="D85" i="1"/>
  <c r="E85" i="1"/>
  <c r="I85" i="1"/>
  <c r="A86" i="1"/>
  <c r="B86" i="1"/>
  <c r="I86" i="1" s="1"/>
  <c r="C86" i="1"/>
  <c r="D86" i="1"/>
  <c r="E86" i="1"/>
  <c r="A87" i="1"/>
  <c r="B87" i="1"/>
  <c r="I87" i="1" s="1"/>
  <c r="C87" i="1"/>
  <c r="D87" i="1"/>
  <c r="E87" i="1"/>
  <c r="A88" i="1"/>
  <c r="G88" i="1" s="1"/>
  <c r="B88" i="1"/>
  <c r="I88" i="1" s="1"/>
  <c r="C88" i="1"/>
  <c r="D88" i="1"/>
  <c r="E88" i="1"/>
  <c r="A89" i="1"/>
  <c r="B89" i="1"/>
  <c r="I89" i="1" s="1"/>
  <c r="C89" i="1"/>
  <c r="D89" i="1"/>
  <c r="E89" i="1"/>
  <c r="A90" i="1"/>
  <c r="B90" i="1"/>
  <c r="I90" i="1" s="1"/>
  <c r="C90" i="1"/>
  <c r="D90" i="1"/>
  <c r="E90" i="1"/>
  <c r="A91" i="1"/>
  <c r="B91" i="1"/>
  <c r="I91" i="1" s="1"/>
  <c r="C91" i="1"/>
  <c r="D91" i="1"/>
  <c r="E91" i="1"/>
  <c r="A92" i="1"/>
  <c r="B92" i="1"/>
  <c r="I92" i="1" s="1"/>
  <c r="C92" i="1"/>
  <c r="H92" i="1" s="1"/>
  <c r="D92" i="1"/>
  <c r="E92" i="1"/>
  <c r="A93" i="1"/>
  <c r="G93" i="1" s="1"/>
  <c r="B93" i="1"/>
  <c r="I93" i="1" s="1"/>
  <c r="C93" i="1"/>
  <c r="D93" i="1"/>
  <c r="E93" i="1"/>
  <c r="A94" i="1"/>
  <c r="B94" i="1"/>
  <c r="I94" i="1" s="1"/>
  <c r="C94" i="1"/>
  <c r="D94" i="1"/>
  <c r="E94" i="1"/>
  <c r="A95" i="1"/>
  <c r="B95" i="1"/>
  <c r="I95" i="1" s="1"/>
  <c r="C95" i="1"/>
  <c r="D95" i="1"/>
  <c r="E95" i="1"/>
  <c r="A96" i="1"/>
  <c r="B96" i="1"/>
  <c r="I96" i="1" s="1"/>
  <c r="C96" i="1"/>
  <c r="D96" i="1"/>
  <c r="E96" i="1"/>
  <c r="A97" i="1"/>
  <c r="B97" i="1"/>
  <c r="I97" i="1" s="1"/>
  <c r="C97" i="1"/>
  <c r="D97" i="1"/>
  <c r="E97" i="1"/>
  <c r="A98" i="1"/>
  <c r="B98" i="1"/>
  <c r="I98" i="1" s="1"/>
  <c r="C98" i="1"/>
  <c r="D98" i="1"/>
  <c r="E98" i="1"/>
  <c r="A99" i="1"/>
  <c r="B99" i="1"/>
  <c r="I99" i="1" s="1"/>
  <c r="C99" i="1"/>
  <c r="D99" i="1"/>
  <c r="E99" i="1"/>
  <c r="A100" i="1"/>
  <c r="B100" i="1"/>
  <c r="I100" i="1" s="1"/>
  <c r="C100" i="1"/>
  <c r="D100" i="1"/>
  <c r="E100" i="1"/>
  <c r="B50" i="1"/>
  <c r="I50" i="1" s="1"/>
  <c r="F50" i="1" s="1"/>
  <c r="C50" i="1"/>
  <c r="D50" i="1"/>
  <c r="E50" i="1"/>
  <c r="C9" i="1"/>
  <c r="D9" i="1"/>
  <c r="E9" i="1"/>
  <c r="C10" i="1"/>
  <c r="D10" i="1"/>
  <c r="E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C16" i="1"/>
  <c r="D16" i="1"/>
  <c r="E16" i="1"/>
  <c r="F16" i="1"/>
  <c r="C17" i="1"/>
  <c r="D17" i="1"/>
  <c r="E17" i="1"/>
  <c r="F17" i="1"/>
  <c r="C18" i="1"/>
  <c r="D18" i="1"/>
  <c r="E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C32" i="1"/>
  <c r="D32" i="1"/>
  <c r="E32" i="1"/>
  <c r="F32" i="1"/>
  <c r="C33" i="1"/>
  <c r="D33" i="1"/>
  <c r="E33" i="1"/>
  <c r="C34" i="1"/>
  <c r="D34" i="1"/>
  <c r="E34" i="1"/>
  <c r="F34" i="1"/>
  <c r="C35" i="1"/>
  <c r="D35" i="1"/>
  <c r="E35" i="1"/>
  <c r="F35" i="1"/>
  <c r="C36" i="1"/>
  <c r="D36" i="1"/>
  <c r="E36" i="1"/>
  <c r="F36" i="1"/>
  <c r="C37" i="1"/>
  <c r="D37" i="1"/>
  <c r="E37" i="1"/>
  <c r="F37" i="1"/>
  <c r="C38" i="1"/>
  <c r="D38" i="1"/>
  <c r="E38" i="1"/>
  <c r="F38" i="1"/>
  <c r="C39" i="1"/>
  <c r="D39" i="1"/>
  <c r="E39" i="1"/>
  <c r="F39" i="1"/>
  <c r="C40" i="1"/>
  <c r="D40" i="1"/>
  <c r="E40" i="1"/>
  <c r="F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B9" i="1"/>
  <c r="I9" i="1" s="1"/>
  <c r="F9" i="1" s="1"/>
  <c r="H9" i="1" s="1"/>
  <c r="B10" i="1"/>
  <c r="I10" i="1" s="1"/>
  <c r="F10" i="1" s="1"/>
  <c r="B11" i="1"/>
  <c r="I11" i="1" s="1"/>
  <c r="B12" i="1"/>
  <c r="I12" i="1" s="1"/>
  <c r="B13" i="1"/>
  <c r="I13" i="1" s="1"/>
  <c r="B14" i="1"/>
  <c r="I14" i="1" s="1"/>
  <c r="B15" i="1"/>
  <c r="I15" i="1" s="1"/>
  <c r="F15" i="1" s="1"/>
  <c r="G15" i="1" s="1"/>
  <c r="B16" i="1"/>
  <c r="I16" i="1" s="1"/>
  <c r="B17" i="1"/>
  <c r="I17" i="1" s="1"/>
  <c r="B18" i="1"/>
  <c r="I18" i="1" s="1"/>
  <c r="F18" i="1" s="1"/>
  <c r="G18" i="1" s="1"/>
  <c r="B19" i="1"/>
  <c r="I19" i="1" s="1"/>
  <c r="B20" i="1"/>
  <c r="I20" i="1" s="1"/>
  <c r="B21" i="1"/>
  <c r="I21" i="1" s="1"/>
  <c r="B22" i="1"/>
  <c r="I22" i="1" s="1"/>
  <c r="B23" i="1"/>
  <c r="I23" i="1" s="1"/>
  <c r="B24" i="1"/>
  <c r="I24" i="1" s="1"/>
  <c r="B25" i="1"/>
  <c r="I25" i="1" s="1"/>
  <c r="B26" i="1"/>
  <c r="I26" i="1" s="1"/>
  <c r="B27" i="1"/>
  <c r="I27" i="1" s="1"/>
  <c r="B28" i="1"/>
  <c r="I28" i="1" s="1"/>
  <c r="B29" i="1"/>
  <c r="I29" i="1" s="1"/>
  <c r="B30" i="1"/>
  <c r="I30" i="1" s="1"/>
  <c r="B31" i="1"/>
  <c r="I31" i="1" s="1"/>
  <c r="B32" i="1"/>
  <c r="I32" i="1" s="1"/>
  <c r="B33" i="1"/>
  <c r="I33" i="1" s="1"/>
  <c r="F33" i="1" s="1"/>
  <c r="B34" i="1"/>
  <c r="I34" i="1" s="1"/>
  <c r="B35" i="1"/>
  <c r="I35" i="1" s="1"/>
  <c r="B36" i="1"/>
  <c r="I36" i="1" s="1"/>
  <c r="B37" i="1"/>
  <c r="I37" i="1" s="1"/>
  <c r="B38" i="1"/>
  <c r="I38" i="1" s="1"/>
  <c r="B39" i="1"/>
  <c r="I39" i="1" s="1"/>
  <c r="B40" i="1"/>
  <c r="I40" i="1" s="1"/>
  <c r="B41" i="1"/>
  <c r="I41" i="1" s="1"/>
  <c r="B42" i="1"/>
  <c r="I42" i="1" s="1"/>
  <c r="B43" i="1"/>
  <c r="I43" i="1" s="1"/>
  <c r="B44" i="1"/>
  <c r="I44" i="1" s="1"/>
  <c r="B45" i="1"/>
  <c r="I45" i="1" s="1"/>
  <c r="F45" i="1" s="1"/>
  <c r="B46" i="1"/>
  <c r="I46" i="1" s="1"/>
  <c r="B47" i="1"/>
  <c r="I47" i="1" s="1"/>
  <c r="B48" i="1"/>
  <c r="I48" i="1" s="1"/>
  <c r="B49" i="1"/>
  <c r="I49" i="1" s="1"/>
  <c r="F49" i="1" s="1"/>
  <c r="A45" i="1"/>
  <c r="A46" i="1"/>
  <c r="A47" i="1"/>
  <c r="A48" i="1"/>
  <c r="A49" i="1"/>
  <c r="A50" i="1"/>
  <c r="A34" i="1"/>
  <c r="A35" i="1"/>
  <c r="A36" i="1"/>
  <c r="A37" i="1"/>
  <c r="A38" i="1"/>
  <c r="A39" i="1"/>
  <c r="A40" i="1"/>
  <c r="A41" i="1"/>
  <c r="A42" i="1"/>
  <c r="A43" i="1"/>
  <c r="A44" i="1"/>
  <c r="A25" i="1"/>
  <c r="A26" i="1"/>
  <c r="A27" i="1"/>
  <c r="A28" i="1"/>
  <c r="A29" i="1"/>
  <c r="A30" i="1"/>
  <c r="A31" i="1"/>
  <c r="A32" i="1"/>
  <c r="A33" i="1"/>
  <c r="A9" i="1"/>
  <c r="A10" i="1"/>
  <c r="A11" i="1"/>
  <c r="A12" i="1"/>
  <c r="A13" i="1"/>
  <c r="A14" i="1"/>
  <c r="A15" i="1"/>
  <c r="A16" i="1"/>
  <c r="A17" i="1"/>
  <c r="G17" i="1" s="1"/>
  <c r="A18" i="1"/>
  <c r="A19" i="1"/>
  <c r="A20" i="1"/>
  <c r="A21" i="1"/>
  <c r="A22" i="1"/>
  <c r="A23" i="1"/>
  <c r="A24" i="1"/>
  <c r="G82" i="1" l="1"/>
  <c r="H77" i="1"/>
  <c r="G77" i="1"/>
  <c r="G71" i="1"/>
  <c r="G63" i="1"/>
  <c r="G95" i="1"/>
  <c r="G79" i="1"/>
  <c r="H67" i="1"/>
  <c r="H60" i="1"/>
  <c r="G80" i="1"/>
  <c r="H58" i="1"/>
  <c r="H98" i="1"/>
  <c r="G74" i="1"/>
  <c r="G66" i="1"/>
  <c r="G59" i="1"/>
  <c r="G51" i="1"/>
  <c r="G100" i="1"/>
  <c r="H99" i="1"/>
  <c r="H91" i="1"/>
  <c r="G70" i="1"/>
  <c r="G67" i="1"/>
  <c r="H83" i="1"/>
  <c r="G99" i="1"/>
  <c r="G94" i="1"/>
  <c r="G86" i="1"/>
  <c r="H75" i="1"/>
  <c r="G78" i="1"/>
  <c r="G75" i="1"/>
  <c r="G90" i="1"/>
  <c r="G33" i="1"/>
  <c r="H69" i="1"/>
  <c r="G61" i="1"/>
  <c r="G96" i="1"/>
  <c r="G72" i="1"/>
  <c r="G25" i="1"/>
  <c r="G91" i="1"/>
  <c r="G64" i="1"/>
  <c r="G53" i="1"/>
  <c r="G54" i="1"/>
  <c r="H52" i="1"/>
  <c r="G58" i="1"/>
  <c r="G57" i="1"/>
  <c r="H66" i="1"/>
  <c r="H97" i="1"/>
  <c r="G89" i="1"/>
  <c r="H81" i="1"/>
  <c r="H73" i="1"/>
  <c r="H65" i="1"/>
  <c r="H74" i="1"/>
  <c r="H82" i="1"/>
  <c r="G98" i="1"/>
  <c r="H90" i="1"/>
  <c r="H35" i="1"/>
  <c r="G83" i="1"/>
  <c r="H59" i="1"/>
  <c r="G97" i="1"/>
  <c r="G81" i="1"/>
  <c r="G73" i="1"/>
  <c r="G65" i="1"/>
  <c r="H89" i="1"/>
  <c r="H57" i="1"/>
  <c r="H12" i="1"/>
  <c r="H16" i="1"/>
  <c r="H51" i="1"/>
  <c r="G55" i="1"/>
  <c r="H50" i="1"/>
  <c r="G50" i="1"/>
  <c r="G10" i="1"/>
  <c r="H32" i="1"/>
  <c r="H25" i="1"/>
  <c r="G87" i="1"/>
  <c r="G41" i="1"/>
  <c r="H100" i="1"/>
  <c r="G92" i="1"/>
  <c r="G84" i="1"/>
  <c r="G76" i="1"/>
  <c r="G68" i="1"/>
  <c r="G60" i="1"/>
  <c r="G52" i="1"/>
  <c r="H96" i="1"/>
  <c r="H88" i="1"/>
  <c r="H80" i="1"/>
  <c r="H72" i="1"/>
  <c r="H64" i="1"/>
  <c r="H56" i="1"/>
  <c r="H95" i="1"/>
  <c r="H87" i="1"/>
  <c r="H79" i="1"/>
  <c r="H71" i="1"/>
  <c r="H63" i="1"/>
  <c r="H55" i="1"/>
  <c r="H94" i="1"/>
  <c r="H86" i="1"/>
  <c r="H78" i="1"/>
  <c r="H70" i="1"/>
  <c r="H62" i="1"/>
  <c r="H54" i="1"/>
  <c r="H93" i="1"/>
  <c r="H85" i="1"/>
  <c r="H61" i="1"/>
  <c r="H53" i="1"/>
  <c r="H21" i="1"/>
  <c r="G19" i="1"/>
  <c r="H36" i="1"/>
  <c r="H24" i="1"/>
  <c r="G46" i="1"/>
  <c r="G34" i="1"/>
  <c r="H13" i="1"/>
  <c r="H11" i="1"/>
  <c r="H17" i="1"/>
  <c r="G32" i="1"/>
  <c r="G30" i="1"/>
  <c r="G28" i="1"/>
  <c r="G26" i="1"/>
  <c r="G49" i="1"/>
  <c r="G47" i="1"/>
  <c r="G45" i="1"/>
  <c r="G43" i="1"/>
  <c r="G39" i="1"/>
  <c r="G37" i="1"/>
  <c r="G11" i="1"/>
  <c r="G24" i="1"/>
  <c r="G22" i="1"/>
  <c r="G35" i="1"/>
  <c r="G20" i="1"/>
  <c r="G31" i="1"/>
  <c r="G29" i="1"/>
  <c r="G27" i="1"/>
  <c r="G16" i="1"/>
  <c r="G14" i="1"/>
  <c r="G12" i="1"/>
  <c r="G48" i="1"/>
  <c r="G44" i="1"/>
  <c r="G42" i="1"/>
  <c r="G40" i="1"/>
  <c r="G38" i="1"/>
  <c r="G36" i="1"/>
  <c r="G23" i="1"/>
  <c r="G21" i="1"/>
  <c r="H39" i="1"/>
  <c r="G9" i="1"/>
  <c r="H28" i="1"/>
  <c r="H23" i="1"/>
  <c r="H20" i="1"/>
  <c r="H40" i="1"/>
  <c r="H19" i="1"/>
  <c r="H31" i="1"/>
  <c r="H15" i="1"/>
  <c r="H27" i="1"/>
  <c r="G13" i="1"/>
  <c r="H48" i="1"/>
  <c r="H44" i="1"/>
  <c r="H49" i="1"/>
  <c r="H41" i="1"/>
  <c r="H37" i="1"/>
  <c r="H33" i="1"/>
  <c r="H29" i="1"/>
  <c r="H45" i="1"/>
  <c r="H42" i="1"/>
  <c r="H38" i="1"/>
  <c r="H30" i="1"/>
  <c r="H26" i="1"/>
  <c r="H22" i="1"/>
  <c r="H18" i="1"/>
  <c r="H14" i="1"/>
  <c r="H10" i="1"/>
  <c r="H46" i="1"/>
  <c r="H34" i="1"/>
  <c r="H47" i="1"/>
  <c r="H43" i="1"/>
  <c r="J1" i="1"/>
  <c r="F8" i="1"/>
  <c r="F6" i="1"/>
  <c r="E8" i="1"/>
  <c r="E7" i="1"/>
  <c r="E6" i="1"/>
  <c r="E5" i="1"/>
  <c r="E4" i="1"/>
  <c r="E3" i="1"/>
  <c r="E2" i="1"/>
  <c r="D8" i="1"/>
  <c r="D7" i="1"/>
  <c r="D6" i="1"/>
  <c r="D5" i="1"/>
  <c r="D4" i="1"/>
  <c r="D3" i="1"/>
  <c r="C8" i="1"/>
  <c r="C7" i="1"/>
  <c r="C6" i="1"/>
  <c r="C5" i="1"/>
  <c r="C4" i="1"/>
  <c r="C3" i="1"/>
  <c r="B8" i="1"/>
  <c r="I8" i="1" s="1"/>
  <c r="B7" i="1"/>
  <c r="I7" i="1" s="1"/>
  <c r="B6" i="1"/>
  <c r="I6" i="1" s="1"/>
  <c r="B5" i="1"/>
  <c r="I5" i="1" s="1"/>
  <c r="F5" i="1" s="1"/>
  <c r="B4" i="1"/>
  <c r="I4" i="1" s="1"/>
  <c r="F4" i="1" s="1"/>
  <c r="B3" i="1"/>
  <c r="I3" i="1" s="1"/>
  <c r="F3" i="1" s="1"/>
  <c r="A8" i="1"/>
  <c r="A7" i="1"/>
  <c r="A6" i="1"/>
  <c r="A5" i="1"/>
  <c r="A4" i="1"/>
  <c r="A3" i="1"/>
  <c r="H3" i="1" l="1"/>
  <c r="G3" i="1"/>
  <c r="H4" i="1"/>
  <c r="G4" i="1"/>
  <c r="H5" i="1"/>
  <c r="G5" i="1"/>
  <c r="H6" i="1"/>
  <c r="G6" i="1"/>
  <c r="H8" i="1"/>
  <c r="G8" i="1"/>
  <c r="F2" i="1"/>
  <c r="D2" i="1" l="1"/>
  <c r="C2" i="1"/>
  <c r="B2" i="1"/>
  <c r="L1" i="1" s="1"/>
  <c r="A2" i="1"/>
  <c r="H2" i="1" l="1"/>
  <c r="G2" i="1"/>
  <c r="I2" i="1"/>
  <c r="F7" i="1"/>
  <c r="H7" i="1" l="1"/>
  <c r="G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732DA8-8BCE-4499-854C-2001A206FA54}" keepAlive="1" name="Consulta - lectura_datos (3)" description="Conexión a la consulta 'lectura_datos (3)' en el libro." type="5" refreshedVersion="6" background="1" saveData="1">
    <dbPr connection="Provider=Microsoft.Mashup.OleDb.1;Data Source=$Workbook$;Location=lectura_datos (3);Extended Properties=&quot;&quot;" command="SELECT * FROM [lectura_datos (3)]"/>
  </connection>
</connections>
</file>

<file path=xl/sharedStrings.xml><?xml version="1.0" encoding="utf-8"?>
<sst xmlns="http://schemas.openxmlformats.org/spreadsheetml/2006/main" count="206" uniqueCount="35">
  <si>
    <t>ID</t>
  </si>
  <si>
    <t>Nombre</t>
  </si>
  <si>
    <t>Pedro</t>
  </si>
  <si>
    <t>Pablo</t>
  </si>
  <si>
    <t>Natalia</t>
  </si>
  <si>
    <t>Santiago</t>
  </si>
  <si>
    <t>Sí</t>
  </si>
  <si>
    <t>No</t>
  </si>
  <si>
    <t>Díaz Álvarez</t>
  </si>
  <si>
    <t>Fernández Fernández</t>
  </si>
  <si>
    <t>García Labrador</t>
  </si>
  <si>
    <t>Apellidos</t>
  </si>
  <si>
    <t>gym</t>
  </si>
  <si>
    <t>tarjeta</t>
  </si>
  <si>
    <t>abono</t>
  </si>
  <si>
    <t>chapa</t>
  </si>
  <si>
    <t>Romero Pomar</t>
  </si>
  <si>
    <t>34 2D 32 A2</t>
  </si>
  <si>
    <t>F5 A3 50 D6</t>
  </si>
  <si>
    <t>04 56 17 3A 4D 2E 80</t>
  </si>
  <si>
    <t>A4 A5 28 EB</t>
  </si>
  <si>
    <t>FECHA</t>
  </si>
  <si>
    <t>ACCESO</t>
  </si>
  <si>
    <t>PESO</t>
  </si>
  <si>
    <t>HORA</t>
  </si>
  <si>
    <t>F5 A3 50 D6 ROBO</t>
  </si>
  <si>
    <t>ROBO</t>
  </si>
  <si>
    <t>PESO ROBADO</t>
  </si>
  <si>
    <t>INCIDENTE</t>
  </si>
  <si>
    <t>Zona 1</t>
  </si>
  <si>
    <t>Zona 2</t>
  </si>
  <si>
    <t>ZONA</t>
  </si>
  <si>
    <t xml:space="preserve"> ZONA 2</t>
  </si>
  <si>
    <t xml:space="preserve"> ZONA 1</t>
  </si>
  <si>
    <t>A4 A5 28 EB ROBO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</si>
</sst>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7CE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 style="thin">
        <color theme="4" tint="0.39994506668294322"/>
      </left>
      <right/>
      <top style="thin">
        <color theme="4" tint="0.39991454817346722"/>
      </top>
      <bottom style="thin">
        <color theme="4" tint="0.3999145481734672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14" fontId="0" fillId="3" borderId="3" xfId="0" applyNumberFormat="1" applyFont="1" applyFill="1" applyBorder="1" applyAlignment="1">
      <alignment horizontal="center" vertical="center"/>
    </xf>
    <xf numFmtId="164" fontId="0" fillId="3" borderId="2" xfId="0" applyNumberFormat="1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23">
    <dxf>
      <numFmt numFmtId="164" formatCode="[$-F400]h:mm:ss\ AM/PM"/>
    </dxf>
    <dxf>
      <numFmt numFmtId="19" formatCode="dd/mm/yyyy"/>
    </dxf>
    <dxf>
      <numFmt numFmtId="0" formatCode="General"/>
    </dxf>
    <dxf>
      <numFmt numFmtId="0" formatCode="General"/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FFC7CE"/>
      </font>
      <fill>
        <patternFill>
          <fgColor rgb="FFFFC7CE"/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FFC7CE"/>
      </font>
      <fill>
        <patternFill>
          <fgColor rgb="FFFFC7CE"/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C7CE"/>
      <color rgb="FFFF7C80"/>
      <color rgb="FF0099FF"/>
      <color rgb="FF0066FF"/>
      <color rgb="FF3333FF"/>
      <color rgb="FF0000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7D34D48-6B14-4751-92BA-8E5516F2A782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ZONA" tableColumnId="2"/>
      <queryTableField id="3" name="PESO" tableColumnId="3"/>
      <queryTableField id="4" name="FECHA" tableColumnId="4"/>
      <queryTableField id="5" name="HOR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4C7ED1-EC18-486D-9D9A-1014A8B6F0C4}" name="lectura_datos__3" displayName="lectura_datos__3" ref="A1:E82" tableType="queryTable" totalsRowShown="0">
  <autoFilter ref="A1:E82" xr:uid="{14EE3C1B-03A0-4557-B36E-B09185459357}"/>
  <tableColumns count="5">
    <tableColumn id="1" xr3:uid="{2ACD91A6-E691-46CA-8F1F-9B50FD20412E}" uniqueName="1" name="ID" queryTableFieldId="1" dataDxfId="3"/>
    <tableColumn id="2" xr3:uid="{C8913C4A-937A-4168-9134-3DDE69583D26}" uniqueName="2" name="ZONA" queryTableFieldId="2" dataDxfId="2"/>
    <tableColumn id="3" xr3:uid="{3A0BD977-4973-44BC-8905-06C0B3D5AE46}" uniqueName="3" name="PESO" queryTableFieldId="3"/>
    <tableColumn id="4" xr3:uid="{BD6E250F-244F-445B-B3E3-7433C905410D}" uniqueName="4" name="FECHA" queryTableFieldId="4" dataDxfId="1"/>
    <tableColumn id="5" xr3:uid="{17662320-54D8-4B89-AA02-436DFC963102}" uniqueName="5" name="HORA" queryTableFieldId="5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34B4DB-3238-4458-9D4A-B8FF7846A0D5}" name="Tabla13" displayName="Tabla13" ref="B3:F7" totalsRowShown="0" headerRowDxfId="22" tableBorderDxfId="21">
  <autoFilter ref="B3:F7" xr:uid="{2110D08A-D650-4ACA-B683-9B82E94D11DF}"/>
  <tableColumns count="5">
    <tableColumn id="1" xr3:uid="{C097AF96-519C-4E30-AEF0-C23D41ED858A}" name="ID"/>
    <tableColumn id="2" xr3:uid="{0DDF50FE-53CB-442D-8510-DCB38944C7C0}" name="Apellidos"/>
    <tableColumn id="3" xr3:uid="{15B6D606-66A5-4F26-B086-84F3D0E6C8F8}" name="Nombre"/>
    <tableColumn id="4" xr3:uid="{F2FE57F9-E289-47AC-A4C5-7334155D1A8A}" name="Zona 1"/>
    <tableColumn id="5" xr3:uid="{2D8BB334-748A-4BFC-BE18-D3D130705950}" name="Zona 2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75B76-8D90-4C35-81CC-9D1E780A8869}">
  <dimension ref="A1:E122"/>
  <sheetViews>
    <sheetView topLeftCell="A64" workbookViewId="0">
      <selection activeCell="A2" sqref="A2"/>
    </sheetView>
  </sheetViews>
  <sheetFormatPr baseColWidth="10" defaultRowHeight="15" x14ac:dyDescent="0.25"/>
  <cols>
    <col min="1" max="1" width="16.7109375" bestFit="1" customWidth="1"/>
    <col min="2" max="2" width="8.42578125" bestFit="1" customWidth="1"/>
    <col min="3" max="3" width="7.85546875" bestFit="1" customWidth="1"/>
    <col min="4" max="4" width="10.7109375" bestFit="1" customWidth="1"/>
    <col min="5" max="5" width="8.42578125" bestFit="1" customWidth="1"/>
  </cols>
  <sheetData>
    <row r="1" spans="1:5" x14ac:dyDescent="0.25">
      <c r="A1" t="s">
        <v>0</v>
      </c>
      <c r="B1" t="s">
        <v>31</v>
      </c>
      <c r="C1" t="s">
        <v>23</v>
      </c>
      <c r="D1" t="s">
        <v>21</v>
      </c>
      <c r="E1" t="s">
        <v>24</v>
      </c>
    </row>
    <row r="2" spans="1:5" x14ac:dyDescent="0.25">
      <c r="A2" s="8" t="s">
        <v>25</v>
      </c>
      <c r="B2" s="8" t="s">
        <v>33</v>
      </c>
      <c r="C2">
        <v>995</v>
      </c>
      <c r="D2" s="10">
        <v>43236</v>
      </c>
      <c r="E2" s="9">
        <v>0.47247685185185184</v>
      </c>
    </row>
    <row r="3" spans="1:5" x14ac:dyDescent="0.25">
      <c r="A3" s="8" t="s">
        <v>18</v>
      </c>
      <c r="B3" s="8" t="s">
        <v>33</v>
      </c>
      <c r="C3">
        <v>831</v>
      </c>
      <c r="D3" s="10">
        <v>43236</v>
      </c>
      <c r="E3" s="9">
        <v>0.4725347222222222</v>
      </c>
    </row>
    <row r="4" spans="1:5" x14ac:dyDescent="0.25">
      <c r="A4" s="8" t="s">
        <v>18</v>
      </c>
      <c r="B4" s="8" t="s">
        <v>33</v>
      </c>
      <c r="C4">
        <v>944</v>
      </c>
      <c r="D4" s="10">
        <v>43236</v>
      </c>
      <c r="E4" s="9">
        <v>0.47259259259259262</v>
      </c>
    </row>
    <row r="5" spans="1:5" x14ac:dyDescent="0.25">
      <c r="A5" s="8" t="s">
        <v>18</v>
      </c>
      <c r="B5" s="8" t="s">
        <v>32</v>
      </c>
      <c r="C5">
        <v>427</v>
      </c>
      <c r="D5" s="10">
        <v>43236</v>
      </c>
      <c r="E5" s="9">
        <v>0.47265046296296298</v>
      </c>
    </row>
    <row r="6" spans="1:5" x14ac:dyDescent="0.25">
      <c r="A6" s="8" t="s">
        <v>25</v>
      </c>
      <c r="B6" s="8" t="s">
        <v>33</v>
      </c>
      <c r="C6">
        <v>1009</v>
      </c>
      <c r="D6" s="10">
        <v>43236</v>
      </c>
      <c r="E6" s="9">
        <v>0.4728472222222222</v>
      </c>
    </row>
    <row r="7" spans="1:5" x14ac:dyDescent="0.25">
      <c r="A7" s="8" t="s">
        <v>18</v>
      </c>
      <c r="B7" s="8" t="s">
        <v>33</v>
      </c>
      <c r="C7">
        <v>976</v>
      </c>
      <c r="D7" s="10">
        <v>43236</v>
      </c>
      <c r="E7" s="9">
        <v>0.47289351851851852</v>
      </c>
    </row>
    <row r="8" spans="1:5" x14ac:dyDescent="0.25">
      <c r="A8" s="8" t="s">
        <v>26</v>
      </c>
      <c r="B8" s="8" t="s">
        <v>33</v>
      </c>
      <c r="C8">
        <v>-59</v>
      </c>
      <c r="D8" s="10">
        <v>43236</v>
      </c>
      <c r="E8" s="9">
        <v>0.47290509259259261</v>
      </c>
    </row>
    <row r="9" spans="1:5" x14ac:dyDescent="0.25">
      <c r="A9" s="8" t="s">
        <v>18</v>
      </c>
      <c r="B9" s="8" t="s">
        <v>33</v>
      </c>
      <c r="C9">
        <v>871</v>
      </c>
      <c r="D9" s="10">
        <v>43236</v>
      </c>
      <c r="E9" s="9">
        <v>0.47291666666666665</v>
      </c>
    </row>
    <row r="10" spans="1:5" x14ac:dyDescent="0.25">
      <c r="A10" s="8" t="s">
        <v>18</v>
      </c>
      <c r="B10" s="8" t="s">
        <v>32</v>
      </c>
      <c r="C10">
        <v>390</v>
      </c>
      <c r="D10" s="10">
        <v>43236</v>
      </c>
      <c r="E10" s="9">
        <v>0.47297453703703701</v>
      </c>
    </row>
    <row r="11" spans="1:5" x14ac:dyDescent="0.25">
      <c r="A11" s="8" t="s">
        <v>26</v>
      </c>
      <c r="B11" s="8" t="s">
        <v>33</v>
      </c>
      <c r="C11">
        <v>993</v>
      </c>
      <c r="D11" s="10">
        <v>43236</v>
      </c>
      <c r="E11" s="9">
        <v>0.4730787037037037</v>
      </c>
    </row>
    <row r="12" spans="1:5" x14ac:dyDescent="0.25">
      <c r="A12" s="8" t="s">
        <v>26</v>
      </c>
      <c r="B12" s="8" t="s">
        <v>33</v>
      </c>
      <c r="C12">
        <v>21</v>
      </c>
      <c r="D12" s="10">
        <v>43236</v>
      </c>
      <c r="E12" s="9">
        <v>0.4730787037037037</v>
      </c>
    </row>
    <row r="13" spans="1:5" x14ac:dyDescent="0.25">
      <c r="A13" s="8" t="s">
        <v>26</v>
      </c>
      <c r="B13" s="8" t="s">
        <v>33</v>
      </c>
      <c r="C13">
        <v>-1014</v>
      </c>
      <c r="D13" s="10">
        <v>43236</v>
      </c>
      <c r="E13" s="9">
        <v>0.4730787037037037</v>
      </c>
    </row>
    <row r="14" spans="1:5" x14ac:dyDescent="0.25">
      <c r="A14" s="8" t="s">
        <v>25</v>
      </c>
      <c r="B14" s="8" t="s">
        <v>33</v>
      </c>
      <c r="C14">
        <v>1008</v>
      </c>
      <c r="D14" s="10">
        <v>43236</v>
      </c>
      <c r="E14" s="9">
        <v>0.47311342592592592</v>
      </c>
    </row>
    <row r="15" spans="1:5" x14ac:dyDescent="0.25">
      <c r="A15" s="8" t="s">
        <v>18</v>
      </c>
      <c r="B15" s="8" t="s">
        <v>33</v>
      </c>
      <c r="C15">
        <v>763</v>
      </c>
      <c r="D15" s="10">
        <v>43236</v>
      </c>
      <c r="E15" s="9">
        <v>0.47318287037037038</v>
      </c>
    </row>
    <row r="16" spans="1:5" x14ac:dyDescent="0.25">
      <c r="A16" s="8" t="s">
        <v>26</v>
      </c>
      <c r="B16" s="8" t="s">
        <v>33</v>
      </c>
      <c r="C16">
        <v>1005</v>
      </c>
      <c r="D16" s="10">
        <v>43236</v>
      </c>
      <c r="E16" s="9">
        <v>0.4732986111111111</v>
      </c>
    </row>
    <row r="17" spans="1:5" x14ac:dyDescent="0.25">
      <c r="A17" s="8" t="s">
        <v>26</v>
      </c>
      <c r="B17" s="8" t="s">
        <v>33</v>
      </c>
      <c r="C17">
        <v>-1005</v>
      </c>
      <c r="D17" s="10">
        <v>43236</v>
      </c>
      <c r="E17" s="9">
        <v>0.4732986111111111</v>
      </c>
    </row>
    <row r="18" spans="1:5" x14ac:dyDescent="0.25">
      <c r="A18" s="8" t="s">
        <v>18</v>
      </c>
      <c r="B18" s="8" t="s">
        <v>33</v>
      </c>
      <c r="C18">
        <v>972</v>
      </c>
      <c r="D18" s="10">
        <v>43236</v>
      </c>
      <c r="E18" s="9">
        <v>0.47334490740740742</v>
      </c>
    </row>
    <row r="19" spans="1:5" x14ac:dyDescent="0.25">
      <c r="A19" s="8" t="s">
        <v>26</v>
      </c>
      <c r="B19" s="8" t="s">
        <v>32</v>
      </c>
      <c r="C19">
        <v>338</v>
      </c>
      <c r="D19" s="10">
        <v>43236</v>
      </c>
      <c r="E19" s="9">
        <v>0.47347222222222224</v>
      </c>
    </row>
    <row r="20" spans="1:5" x14ac:dyDescent="0.25">
      <c r="A20" s="8" t="s">
        <v>26</v>
      </c>
      <c r="B20" s="8" t="s">
        <v>32</v>
      </c>
      <c r="C20">
        <v>374</v>
      </c>
      <c r="D20" s="10">
        <v>43236</v>
      </c>
      <c r="E20" s="9">
        <v>0.47347222222222224</v>
      </c>
    </row>
    <row r="21" spans="1:5" x14ac:dyDescent="0.25">
      <c r="A21" s="8" t="s">
        <v>26</v>
      </c>
      <c r="B21" s="8" t="s">
        <v>32</v>
      </c>
      <c r="C21">
        <v>137</v>
      </c>
      <c r="D21" s="10">
        <v>43236</v>
      </c>
      <c r="E21" s="9">
        <v>0.47347222222222224</v>
      </c>
    </row>
    <row r="22" spans="1:5" x14ac:dyDescent="0.25">
      <c r="A22" s="8" t="s">
        <v>26</v>
      </c>
      <c r="B22" s="8" t="s">
        <v>32</v>
      </c>
      <c r="C22">
        <v>55</v>
      </c>
      <c r="D22" s="10">
        <v>43236</v>
      </c>
      <c r="E22" s="9">
        <v>0.47347222222222224</v>
      </c>
    </row>
    <row r="23" spans="1:5" x14ac:dyDescent="0.25">
      <c r="A23" s="8" t="s">
        <v>26</v>
      </c>
      <c r="B23" s="8" t="s">
        <v>32</v>
      </c>
      <c r="C23">
        <v>27</v>
      </c>
      <c r="D23" s="10">
        <v>43236</v>
      </c>
      <c r="E23" s="9">
        <v>0.47347222222222224</v>
      </c>
    </row>
    <row r="24" spans="1:5" x14ac:dyDescent="0.25">
      <c r="A24" s="8" t="s">
        <v>26</v>
      </c>
      <c r="B24" s="8" t="s">
        <v>32</v>
      </c>
      <c r="C24">
        <v>30</v>
      </c>
      <c r="D24" s="10">
        <v>43236</v>
      </c>
      <c r="E24" s="9">
        <v>0.47347222222222224</v>
      </c>
    </row>
    <row r="25" spans="1:5" x14ac:dyDescent="0.25">
      <c r="A25" s="8" t="s">
        <v>26</v>
      </c>
      <c r="B25" s="8" t="s">
        <v>32</v>
      </c>
      <c r="C25">
        <v>18</v>
      </c>
      <c r="D25" s="10">
        <v>43236</v>
      </c>
      <c r="E25" s="9">
        <v>0.47347222222222224</v>
      </c>
    </row>
    <row r="26" spans="1:5" x14ac:dyDescent="0.25">
      <c r="A26" s="8" t="s">
        <v>26</v>
      </c>
      <c r="B26" s="8" t="s">
        <v>32</v>
      </c>
      <c r="C26">
        <v>1</v>
      </c>
      <c r="D26" s="10">
        <v>43236</v>
      </c>
      <c r="E26" s="9">
        <v>0.47347222222222224</v>
      </c>
    </row>
    <row r="27" spans="1:5" x14ac:dyDescent="0.25">
      <c r="A27" s="8" t="s">
        <v>26</v>
      </c>
      <c r="B27" s="8" t="s">
        <v>33</v>
      </c>
      <c r="C27">
        <v>-27</v>
      </c>
      <c r="D27" s="10">
        <v>43236</v>
      </c>
      <c r="E27" s="9">
        <v>0.47347222222222224</v>
      </c>
    </row>
    <row r="28" spans="1:5" x14ac:dyDescent="0.25">
      <c r="A28" s="8" t="s">
        <v>26</v>
      </c>
      <c r="B28" s="8" t="s">
        <v>32</v>
      </c>
      <c r="C28">
        <v>-12</v>
      </c>
      <c r="D28" s="10">
        <v>43236</v>
      </c>
      <c r="E28" s="9">
        <v>0.47347222222222224</v>
      </c>
    </row>
    <row r="29" spans="1:5" x14ac:dyDescent="0.25">
      <c r="A29" s="8" t="s">
        <v>26</v>
      </c>
      <c r="B29" s="8" t="s">
        <v>32</v>
      </c>
      <c r="C29">
        <v>-26</v>
      </c>
      <c r="D29" s="10">
        <v>43236</v>
      </c>
      <c r="E29" s="9">
        <v>0.47347222222222224</v>
      </c>
    </row>
    <row r="30" spans="1:5" x14ac:dyDescent="0.25">
      <c r="A30" s="8" t="s">
        <v>26</v>
      </c>
      <c r="B30" s="8" t="s">
        <v>32</v>
      </c>
      <c r="C30">
        <v>-94</v>
      </c>
      <c r="D30" s="10">
        <v>43236</v>
      </c>
      <c r="E30" s="9">
        <v>0.47347222222222224</v>
      </c>
    </row>
    <row r="31" spans="1:5" x14ac:dyDescent="0.25">
      <c r="A31" s="8" t="s">
        <v>26</v>
      </c>
      <c r="B31" s="8" t="s">
        <v>32</v>
      </c>
      <c r="C31">
        <v>-262</v>
      </c>
      <c r="D31" s="10">
        <v>43236</v>
      </c>
      <c r="E31" s="9">
        <v>0.47347222222222224</v>
      </c>
    </row>
    <row r="32" spans="1:5" x14ac:dyDescent="0.25">
      <c r="A32" s="8" t="s">
        <v>26</v>
      </c>
      <c r="B32" s="8" t="s">
        <v>32</v>
      </c>
      <c r="C32">
        <v>-586</v>
      </c>
      <c r="D32" s="10">
        <v>43236</v>
      </c>
      <c r="E32" s="9">
        <v>0.47348379629629628</v>
      </c>
    </row>
    <row r="33" spans="1:5" x14ac:dyDescent="0.25">
      <c r="A33" s="8" t="s">
        <v>18</v>
      </c>
      <c r="B33" s="8" t="s">
        <v>32</v>
      </c>
      <c r="C33">
        <v>590</v>
      </c>
      <c r="D33" s="10">
        <v>43236</v>
      </c>
      <c r="E33" s="9">
        <v>0.47355324074074073</v>
      </c>
    </row>
    <row r="34" spans="1:5" x14ac:dyDescent="0.25">
      <c r="A34" s="8" t="s">
        <v>26</v>
      </c>
      <c r="B34" s="8" t="s">
        <v>32</v>
      </c>
      <c r="C34">
        <v>174</v>
      </c>
      <c r="D34" s="10">
        <v>43236</v>
      </c>
      <c r="E34" s="9">
        <v>0.4737615740740741</v>
      </c>
    </row>
    <row r="35" spans="1:5" x14ac:dyDescent="0.25">
      <c r="A35" s="8" t="s">
        <v>26</v>
      </c>
      <c r="B35" s="8" t="s">
        <v>32</v>
      </c>
      <c r="C35">
        <v>411</v>
      </c>
      <c r="D35" s="10">
        <v>43236</v>
      </c>
      <c r="E35" s="9">
        <v>0.4737615740740741</v>
      </c>
    </row>
    <row r="36" spans="1:5" x14ac:dyDescent="0.25">
      <c r="A36" s="8" t="s">
        <v>26</v>
      </c>
      <c r="B36" s="8" t="s">
        <v>32</v>
      </c>
      <c r="C36">
        <v>169</v>
      </c>
      <c r="D36" s="10">
        <v>43236</v>
      </c>
      <c r="E36" s="9">
        <v>0.4737615740740741</v>
      </c>
    </row>
    <row r="37" spans="1:5" x14ac:dyDescent="0.25">
      <c r="A37" s="8" t="s">
        <v>26</v>
      </c>
      <c r="B37" s="8" t="s">
        <v>32</v>
      </c>
      <c r="C37">
        <v>71</v>
      </c>
      <c r="D37" s="10">
        <v>43236</v>
      </c>
      <c r="E37" s="9">
        <v>0.4737615740740741</v>
      </c>
    </row>
    <row r="38" spans="1:5" x14ac:dyDescent="0.25">
      <c r="A38" s="8" t="s">
        <v>26</v>
      </c>
      <c r="B38" s="8" t="s">
        <v>32</v>
      </c>
      <c r="C38">
        <v>96</v>
      </c>
      <c r="D38" s="10">
        <v>43236</v>
      </c>
      <c r="E38" s="9">
        <v>0.4737615740740741</v>
      </c>
    </row>
    <row r="39" spans="1:5" x14ac:dyDescent="0.25">
      <c r="A39" s="8" t="s">
        <v>26</v>
      </c>
      <c r="B39" s="8" t="s">
        <v>32</v>
      </c>
      <c r="C39">
        <v>35</v>
      </c>
      <c r="D39" s="10">
        <v>43236</v>
      </c>
      <c r="E39" s="9">
        <v>0.4737615740740741</v>
      </c>
    </row>
    <row r="40" spans="1:5" x14ac:dyDescent="0.25">
      <c r="A40" s="8" t="s">
        <v>26</v>
      </c>
      <c r="B40" s="8" t="s">
        <v>32</v>
      </c>
      <c r="C40">
        <v>25</v>
      </c>
      <c r="D40" s="10">
        <v>43236</v>
      </c>
      <c r="E40" s="9">
        <v>0.47377314814814814</v>
      </c>
    </row>
    <row r="41" spans="1:5" x14ac:dyDescent="0.25">
      <c r="A41" s="8" t="s">
        <v>26</v>
      </c>
      <c r="B41" s="8" t="s">
        <v>32</v>
      </c>
      <c r="C41">
        <v>-65</v>
      </c>
      <c r="D41" s="10">
        <v>43236</v>
      </c>
      <c r="E41" s="9">
        <v>0.47377314814814814</v>
      </c>
    </row>
    <row r="42" spans="1:5" x14ac:dyDescent="0.25">
      <c r="A42" s="8" t="s">
        <v>26</v>
      </c>
      <c r="B42" s="8" t="s">
        <v>32</v>
      </c>
      <c r="C42">
        <v>-374</v>
      </c>
      <c r="D42" s="10">
        <v>43236</v>
      </c>
      <c r="E42" s="9">
        <v>0.47377314814814814</v>
      </c>
    </row>
    <row r="43" spans="1:5" x14ac:dyDescent="0.25">
      <c r="A43" s="8" t="s">
        <v>26</v>
      </c>
      <c r="B43" s="8" t="s">
        <v>32</v>
      </c>
      <c r="C43">
        <v>-227</v>
      </c>
      <c r="D43" s="10">
        <v>43236</v>
      </c>
      <c r="E43" s="9">
        <v>0.47377314814814814</v>
      </c>
    </row>
    <row r="44" spans="1:5" x14ac:dyDescent="0.25">
      <c r="A44" s="8" t="s">
        <v>26</v>
      </c>
      <c r="B44" s="8" t="s">
        <v>32</v>
      </c>
      <c r="C44">
        <v>-315</v>
      </c>
      <c r="D44" s="10">
        <v>43236</v>
      </c>
      <c r="E44" s="9">
        <v>0.47377314814814814</v>
      </c>
    </row>
    <row r="45" spans="1:5" x14ac:dyDescent="0.25">
      <c r="A45" s="8" t="s">
        <v>18</v>
      </c>
      <c r="B45" s="8" t="s">
        <v>32</v>
      </c>
      <c r="C45">
        <v>554</v>
      </c>
      <c r="D45" s="10">
        <v>43236</v>
      </c>
      <c r="E45" s="9">
        <v>0.47380787037037037</v>
      </c>
    </row>
    <row r="46" spans="1:5" x14ac:dyDescent="0.25">
      <c r="A46" s="8" t="s">
        <v>26</v>
      </c>
      <c r="B46" s="8" t="s">
        <v>33</v>
      </c>
      <c r="C46">
        <v>922</v>
      </c>
      <c r="D46" s="10">
        <v>43236</v>
      </c>
      <c r="E46" s="9">
        <v>0.49482638888888891</v>
      </c>
    </row>
    <row r="47" spans="1:5" x14ac:dyDescent="0.25">
      <c r="A47" s="8" t="s">
        <v>26</v>
      </c>
      <c r="B47" s="8" t="s">
        <v>33</v>
      </c>
      <c r="C47">
        <v>87</v>
      </c>
      <c r="D47" s="10">
        <v>43236</v>
      </c>
      <c r="E47" s="9">
        <v>0.49482638888888891</v>
      </c>
    </row>
    <row r="48" spans="1:5" x14ac:dyDescent="0.25">
      <c r="A48" s="8" t="s">
        <v>26</v>
      </c>
      <c r="B48" s="8" t="s">
        <v>33</v>
      </c>
      <c r="C48">
        <v>-1009</v>
      </c>
      <c r="D48" s="10">
        <v>43236</v>
      </c>
      <c r="E48" s="9">
        <v>0.49483796296296295</v>
      </c>
    </row>
    <row r="49" spans="1:5" x14ac:dyDescent="0.25">
      <c r="A49" s="8" t="s">
        <v>18</v>
      </c>
      <c r="B49" s="8" t="s">
        <v>33</v>
      </c>
      <c r="C49">
        <v>823</v>
      </c>
      <c r="D49" s="10">
        <v>43236</v>
      </c>
      <c r="E49" s="9">
        <v>0.49486111111111108</v>
      </c>
    </row>
    <row r="50" spans="1:5" x14ac:dyDescent="0.25">
      <c r="A50" s="8" t="s">
        <v>20</v>
      </c>
      <c r="B50" s="8" t="s">
        <v>32</v>
      </c>
      <c r="C50">
        <v>227</v>
      </c>
      <c r="D50" s="10">
        <v>43236</v>
      </c>
      <c r="E50" s="9">
        <v>0.49493055555555554</v>
      </c>
    </row>
    <row r="51" spans="1:5" x14ac:dyDescent="0.25">
      <c r="A51" s="8" t="s">
        <v>20</v>
      </c>
      <c r="B51" s="8" t="s">
        <v>33</v>
      </c>
      <c r="C51">
        <v>22</v>
      </c>
      <c r="D51" s="10">
        <v>43236</v>
      </c>
      <c r="E51" s="9">
        <v>0.49501157407407409</v>
      </c>
    </row>
    <row r="52" spans="1:5" x14ac:dyDescent="0.25">
      <c r="A52" s="8" t="s">
        <v>34</v>
      </c>
      <c r="B52" s="8" t="s">
        <v>33</v>
      </c>
      <c r="C52">
        <v>935</v>
      </c>
      <c r="D52" s="10">
        <v>43236</v>
      </c>
      <c r="E52" s="9">
        <v>0.49684027777777778</v>
      </c>
    </row>
    <row r="53" spans="1:5" x14ac:dyDescent="0.25">
      <c r="A53" s="8" t="s">
        <v>26</v>
      </c>
      <c r="B53" s="8" t="s">
        <v>33</v>
      </c>
      <c r="C53">
        <v>949</v>
      </c>
      <c r="D53" s="10">
        <v>43236</v>
      </c>
      <c r="E53" s="9">
        <v>0.49692129629629628</v>
      </c>
    </row>
    <row r="54" spans="1:5" x14ac:dyDescent="0.25">
      <c r="A54" s="8" t="s">
        <v>26</v>
      </c>
      <c r="B54" s="8" t="s">
        <v>32</v>
      </c>
      <c r="C54">
        <v>-302</v>
      </c>
      <c r="D54" s="10">
        <v>43236</v>
      </c>
      <c r="E54" s="9">
        <v>0.49694444444444447</v>
      </c>
    </row>
    <row r="55" spans="1:5" x14ac:dyDescent="0.25">
      <c r="A55" s="8" t="s">
        <v>20</v>
      </c>
      <c r="B55" s="8" t="s">
        <v>32</v>
      </c>
      <c r="C55">
        <v>201</v>
      </c>
      <c r="D55" s="10">
        <v>43236</v>
      </c>
      <c r="E55" s="9">
        <v>0.49697916666666669</v>
      </c>
    </row>
    <row r="56" spans="1:5" x14ac:dyDescent="0.25">
      <c r="A56" s="8" t="s">
        <v>18</v>
      </c>
      <c r="B56" s="8" t="s">
        <v>33</v>
      </c>
      <c r="C56">
        <v>795</v>
      </c>
      <c r="D56" s="10">
        <v>43236</v>
      </c>
      <c r="E56" s="9">
        <v>0.49703703703703705</v>
      </c>
    </row>
    <row r="57" spans="1:5" x14ac:dyDescent="0.25">
      <c r="A57" s="8" t="s">
        <v>18</v>
      </c>
      <c r="B57" s="8" t="s">
        <v>32</v>
      </c>
      <c r="C57">
        <v>628</v>
      </c>
      <c r="D57" s="10">
        <v>43236</v>
      </c>
      <c r="E57" s="9">
        <v>0.49711805555555555</v>
      </c>
    </row>
    <row r="58" spans="1:5" x14ac:dyDescent="0.25">
      <c r="A58" s="8" t="s">
        <v>26</v>
      </c>
      <c r="B58" s="8" t="s">
        <v>32</v>
      </c>
      <c r="C58">
        <v>16</v>
      </c>
      <c r="D58" s="10">
        <v>43236</v>
      </c>
      <c r="E58" s="9">
        <v>0.49715277777777778</v>
      </c>
    </row>
    <row r="59" spans="1:5" x14ac:dyDescent="0.25">
      <c r="A59" s="8" t="s">
        <v>26</v>
      </c>
      <c r="B59" s="8" t="s">
        <v>33</v>
      </c>
      <c r="C59">
        <v>997</v>
      </c>
      <c r="D59" s="10">
        <v>43236</v>
      </c>
      <c r="E59" s="9">
        <v>0.49853009259259257</v>
      </c>
    </row>
    <row r="60" spans="1:5" x14ac:dyDescent="0.25">
      <c r="A60" s="8" t="s">
        <v>26</v>
      </c>
      <c r="B60" s="8" t="s">
        <v>33</v>
      </c>
      <c r="C60">
        <v>22</v>
      </c>
      <c r="D60" s="10">
        <v>43236</v>
      </c>
      <c r="E60" s="9">
        <v>0.49853009259259257</v>
      </c>
    </row>
    <row r="61" spans="1:5" x14ac:dyDescent="0.25">
      <c r="A61" s="8" t="s">
        <v>26</v>
      </c>
      <c r="B61" s="8" t="s">
        <v>33</v>
      </c>
      <c r="C61">
        <v>-1019</v>
      </c>
      <c r="D61" s="10">
        <v>43236</v>
      </c>
      <c r="E61" s="9">
        <v>0.49854166666666666</v>
      </c>
    </row>
    <row r="62" spans="1:5" x14ac:dyDescent="0.25">
      <c r="A62" s="8" t="s">
        <v>26</v>
      </c>
      <c r="B62" s="8" t="s">
        <v>32</v>
      </c>
      <c r="C62">
        <v>367</v>
      </c>
      <c r="D62" s="10">
        <v>43236</v>
      </c>
      <c r="E62" s="9">
        <v>0.49930555555555556</v>
      </c>
    </row>
    <row r="63" spans="1:5" x14ac:dyDescent="0.25">
      <c r="A63" s="8" t="s">
        <v>26</v>
      </c>
      <c r="B63" s="8" t="s">
        <v>32</v>
      </c>
      <c r="C63">
        <v>497</v>
      </c>
      <c r="D63" s="10">
        <v>43236</v>
      </c>
      <c r="E63" s="9">
        <v>0.49930555555555556</v>
      </c>
    </row>
    <row r="64" spans="1:5" x14ac:dyDescent="0.25">
      <c r="A64" s="8" t="s">
        <v>26</v>
      </c>
      <c r="B64" s="8" t="s">
        <v>32</v>
      </c>
      <c r="C64">
        <v>73</v>
      </c>
      <c r="D64" s="10">
        <v>43236</v>
      </c>
      <c r="E64" s="9">
        <v>0.49930555555555556</v>
      </c>
    </row>
    <row r="65" spans="1:5" x14ac:dyDescent="0.25">
      <c r="A65" s="8" t="s">
        <v>26</v>
      </c>
      <c r="B65" s="8" t="s">
        <v>32</v>
      </c>
      <c r="C65">
        <v>26</v>
      </c>
      <c r="D65" s="10">
        <v>43236</v>
      </c>
      <c r="E65" s="9">
        <v>0.49930555555555556</v>
      </c>
    </row>
    <row r="66" spans="1:5" x14ac:dyDescent="0.25">
      <c r="A66" s="8" t="s">
        <v>26</v>
      </c>
      <c r="B66" s="8" t="s">
        <v>32</v>
      </c>
      <c r="C66">
        <v>16</v>
      </c>
      <c r="D66" s="10">
        <v>43236</v>
      </c>
      <c r="E66" s="9">
        <v>0.49930555555555556</v>
      </c>
    </row>
    <row r="67" spans="1:5" x14ac:dyDescent="0.25">
      <c r="A67" s="8" t="s">
        <v>26</v>
      </c>
      <c r="B67" s="8" t="s">
        <v>32</v>
      </c>
      <c r="C67">
        <v>10</v>
      </c>
      <c r="D67" s="10">
        <v>43236</v>
      </c>
      <c r="E67" s="9">
        <v>0.49930555555555556</v>
      </c>
    </row>
    <row r="68" spans="1:5" x14ac:dyDescent="0.25">
      <c r="A68" s="8" t="s">
        <v>26</v>
      </c>
      <c r="B68" s="8" t="s">
        <v>32</v>
      </c>
      <c r="C68">
        <v>-4</v>
      </c>
      <c r="D68" s="10">
        <v>43236</v>
      </c>
      <c r="E68" s="9">
        <v>0.49930555555555556</v>
      </c>
    </row>
    <row r="69" spans="1:5" x14ac:dyDescent="0.25">
      <c r="A69" s="8" t="s">
        <v>26</v>
      </c>
      <c r="B69" s="8" t="s">
        <v>32</v>
      </c>
      <c r="C69">
        <v>-41</v>
      </c>
      <c r="D69" s="10">
        <v>43236</v>
      </c>
      <c r="E69" s="9">
        <v>0.49930555555555556</v>
      </c>
    </row>
    <row r="70" spans="1:5" x14ac:dyDescent="0.25">
      <c r="A70" s="8" t="s">
        <v>26</v>
      </c>
      <c r="B70" s="8" t="s">
        <v>32</v>
      </c>
      <c r="C70">
        <v>-84</v>
      </c>
      <c r="D70" s="10">
        <v>43236</v>
      </c>
      <c r="E70" s="9">
        <v>0.49930555555555556</v>
      </c>
    </row>
    <row r="71" spans="1:5" x14ac:dyDescent="0.25">
      <c r="A71" s="8" t="s">
        <v>26</v>
      </c>
      <c r="B71" s="8" t="s">
        <v>32</v>
      </c>
      <c r="C71">
        <v>-643</v>
      </c>
      <c r="D71" s="10">
        <v>43236</v>
      </c>
      <c r="E71" s="9">
        <v>0.49930555555555556</v>
      </c>
    </row>
    <row r="72" spans="1:5" x14ac:dyDescent="0.25">
      <c r="A72" s="8" t="s">
        <v>26</v>
      </c>
      <c r="B72" s="8" t="s">
        <v>32</v>
      </c>
      <c r="C72">
        <v>-217</v>
      </c>
      <c r="D72" s="10">
        <v>43236</v>
      </c>
      <c r="E72" s="9">
        <v>0.49930555555555556</v>
      </c>
    </row>
    <row r="73" spans="1:5" x14ac:dyDescent="0.25">
      <c r="A73" s="8" t="s">
        <v>26</v>
      </c>
      <c r="B73" s="8" t="s">
        <v>33</v>
      </c>
      <c r="C73">
        <v>969</v>
      </c>
      <c r="D73" s="10">
        <v>43236</v>
      </c>
      <c r="E73" s="9">
        <v>0.49998842592592591</v>
      </c>
    </row>
    <row r="74" spans="1:5" x14ac:dyDescent="0.25">
      <c r="A74" s="8" t="s">
        <v>26</v>
      </c>
      <c r="B74" s="8" t="s">
        <v>33</v>
      </c>
      <c r="C74">
        <v>41</v>
      </c>
      <c r="D74" s="10">
        <v>43236</v>
      </c>
      <c r="E74" s="9">
        <v>0.49998842592592591</v>
      </c>
    </row>
    <row r="75" spans="1:5" x14ac:dyDescent="0.25">
      <c r="A75" s="8" t="s">
        <v>26</v>
      </c>
      <c r="B75" s="8" t="s">
        <v>33</v>
      </c>
      <c r="C75">
        <v>-130</v>
      </c>
      <c r="D75" s="10">
        <v>43236</v>
      </c>
      <c r="E75" s="9">
        <v>0.49998842592592591</v>
      </c>
    </row>
    <row r="76" spans="1:5" x14ac:dyDescent="0.25">
      <c r="A76" s="8" t="s">
        <v>26</v>
      </c>
      <c r="B76" s="8" t="s">
        <v>33</v>
      </c>
      <c r="C76">
        <v>-880</v>
      </c>
      <c r="D76" s="10">
        <v>43236</v>
      </c>
      <c r="E76" s="9">
        <v>0.49998842592592591</v>
      </c>
    </row>
    <row r="77" spans="1:5" x14ac:dyDescent="0.25">
      <c r="A77" s="8" t="s">
        <v>18</v>
      </c>
      <c r="B77" s="8" t="s">
        <v>33</v>
      </c>
      <c r="C77">
        <v>952</v>
      </c>
      <c r="D77" s="10">
        <v>43236</v>
      </c>
      <c r="E77" s="9">
        <v>0.50003472222222223</v>
      </c>
    </row>
    <row r="78" spans="1:5" x14ac:dyDescent="0.25">
      <c r="A78" s="8" t="s">
        <v>20</v>
      </c>
      <c r="B78" s="8" t="s">
        <v>33</v>
      </c>
      <c r="C78">
        <v>859</v>
      </c>
      <c r="D78" s="10">
        <v>43236</v>
      </c>
      <c r="E78" s="9">
        <v>0.50009259259259264</v>
      </c>
    </row>
    <row r="79" spans="1:5" x14ac:dyDescent="0.25">
      <c r="A79" s="8" t="s">
        <v>18</v>
      </c>
      <c r="B79" s="8" t="s">
        <v>32</v>
      </c>
      <c r="C79">
        <v>367</v>
      </c>
      <c r="D79" s="10">
        <v>43236</v>
      </c>
      <c r="E79" s="9">
        <v>0.50020833333333337</v>
      </c>
    </row>
    <row r="80" spans="1:5" x14ac:dyDescent="0.25">
      <c r="A80" s="8" t="s">
        <v>20</v>
      </c>
      <c r="B80" s="8" t="s">
        <v>32</v>
      </c>
      <c r="C80">
        <v>532</v>
      </c>
      <c r="D80" s="10">
        <v>43236</v>
      </c>
      <c r="E80" s="9">
        <v>0.50028935185185186</v>
      </c>
    </row>
    <row r="81" spans="1:5" x14ac:dyDescent="0.25">
      <c r="A81" s="8" t="s">
        <v>26</v>
      </c>
      <c r="B81" s="8" t="s">
        <v>32</v>
      </c>
      <c r="C81">
        <v>183</v>
      </c>
      <c r="D81" s="10">
        <v>43236</v>
      </c>
      <c r="E81" s="9">
        <v>0.50031250000000005</v>
      </c>
    </row>
    <row r="82" spans="1:5" x14ac:dyDescent="0.25">
      <c r="A82" s="8" t="s">
        <v>25</v>
      </c>
      <c r="B82" s="8" t="s">
        <v>33</v>
      </c>
      <c r="C82">
        <v>988</v>
      </c>
      <c r="D82" s="10">
        <v>43236</v>
      </c>
      <c r="E82" s="9">
        <v>0.50127314814814816</v>
      </c>
    </row>
    <row r="83" spans="1:5" x14ac:dyDescent="0.25">
      <c r="A83" s="8"/>
      <c r="B83" s="8"/>
      <c r="D83" s="10"/>
      <c r="E83" s="9"/>
    </row>
    <row r="84" spans="1:5" x14ac:dyDescent="0.25">
      <c r="A84" s="8"/>
      <c r="B84" s="8"/>
      <c r="D84" s="10"/>
      <c r="E84" s="9"/>
    </row>
    <row r="85" spans="1:5" x14ac:dyDescent="0.25">
      <c r="A85" s="8"/>
      <c r="B85" s="8"/>
      <c r="D85" s="10"/>
      <c r="E85" s="9"/>
    </row>
    <row r="86" spans="1:5" x14ac:dyDescent="0.25">
      <c r="A86" s="8"/>
      <c r="B86" s="8"/>
      <c r="D86" s="10"/>
      <c r="E86" s="9"/>
    </row>
    <row r="87" spans="1:5" x14ac:dyDescent="0.25">
      <c r="A87" s="8"/>
      <c r="C87" s="10"/>
      <c r="D87" s="9"/>
    </row>
    <row r="88" spans="1:5" x14ac:dyDescent="0.25">
      <c r="A88" s="8"/>
      <c r="C88" s="10"/>
      <c r="D88" s="9"/>
    </row>
    <row r="89" spans="1:5" x14ac:dyDescent="0.25">
      <c r="A89" s="8"/>
      <c r="C89" s="10"/>
      <c r="D89" s="9"/>
    </row>
    <row r="90" spans="1:5" x14ac:dyDescent="0.25">
      <c r="A90" s="8"/>
      <c r="C90" s="10"/>
      <c r="D90" s="9"/>
    </row>
    <row r="91" spans="1:5" x14ac:dyDescent="0.25">
      <c r="A91" s="8"/>
      <c r="C91" s="10"/>
      <c r="D91" s="9"/>
    </row>
    <row r="92" spans="1:5" x14ac:dyDescent="0.25">
      <c r="A92" s="8"/>
      <c r="C92" s="10"/>
      <c r="D92" s="9"/>
    </row>
    <row r="93" spans="1:5" x14ac:dyDescent="0.25">
      <c r="A93" s="8"/>
      <c r="C93" s="10"/>
      <c r="D93" s="9"/>
    </row>
    <row r="94" spans="1:5" x14ac:dyDescent="0.25">
      <c r="A94" s="8"/>
      <c r="C94" s="10"/>
      <c r="D94" s="9"/>
    </row>
    <row r="95" spans="1:5" x14ac:dyDescent="0.25">
      <c r="A95" s="8"/>
      <c r="C95" s="10"/>
      <c r="D95" s="9"/>
    </row>
    <row r="96" spans="1:5" x14ac:dyDescent="0.25">
      <c r="A96" s="8"/>
      <c r="C96" s="10"/>
      <c r="D96" s="9"/>
    </row>
    <row r="97" spans="1:4" x14ac:dyDescent="0.25">
      <c r="A97" s="8"/>
      <c r="C97" s="10"/>
      <c r="D97" s="9"/>
    </row>
    <row r="98" spans="1:4" x14ac:dyDescent="0.25">
      <c r="A98" s="8"/>
      <c r="C98" s="10"/>
      <c r="D98" s="9"/>
    </row>
    <row r="99" spans="1:4" x14ac:dyDescent="0.25">
      <c r="A99" s="8"/>
      <c r="C99" s="10"/>
      <c r="D99" s="9"/>
    </row>
    <row r="100" spans="1:4" x14ac:dyDescent="0.25">
      <c r="A100" s="8"/>
      <c r="C100" s="10"/>
      <c r="D100" s="9"/>
    </row>
    <row r="101" spans="1:4" x14ac:dyDescent="0.25">
      <c r="A101" s="8"/>
      <c r="C101" s="10"/>
      <c r="D101" s="9"/>
    </row>
    <row r="102" spans="1:4" x14ac:dyDescent="0.25">
      <c r="A102" s="8"/>
      <c r="C102" s="10"/>
      <c r="D102" s="9"/>
    </row>
    <row r="103" spans="1:4" x14ac:dyDescent="0.25">
      <c r="A103" s="8"/>
      <c r="C103" s="10"/>
      <c r="D103" s="9"/>
    </row>
    <row r="104" spans="1:4" x14ac:dyDescent="0.25">
      <c r="A104" s="8"/>
      <c r="C104" s="10"/>
      <c r="D104" s="9"/>
    </row>
    <row r="105" spans="1:4" x14ac:dyDescent="0.25">
      <c r="A105" s="8"/>
      <c r="C105" s="10"/>
      <c r="D105" s="9"/>
    </row>
    <row r="106" spans="1:4" x14ac:dyDescent="0.25">
      <c r="A106" s="8"/>
      <c r="C106" s="10"/>
      <c r="D106" s="9"/>
    </row>
    <row r="107" spans="1:4" x14ac:dyDescent="0.25">
      <c r="A107" s="8"/>
      <c r="C107" s="10"/>
      <c r="D107" s="9"/>
    </row>
    <row r="108" spans="1:4" x14ac:dyDescent="0.25">
      <c r="A108" s="8"/>
      <c r="C108" s="10"/>
      <c r="D108" s="9"/>
    </row>
    <row r="109" spans="1:4" x14ac:dyDescent="0.25">
      <c r="A109" s="8"/>
      <c r="C109" s="10"/>
      <c r="D109" s="9"/>
    </row>
    <row r="110" spans="1:4" x14ac:dyDescent="0.25">
      <c r="A110" s="8"/>
      <c r="C110" s="10"/>
      <c r="D110" s="9"/>
    </row>
    <row r="111" spans="1:4" x14ac:dyDescent="0.25">
      <c r="A111" s="8"/>
      <c r="C111" s="10"/>
      <c r="D111" s="9"/>
    </row>
    <row r="112" spans="1:4" x14ac:dyDescent="0.25">
      <c r="A112" s="8"/>
      <c r="C112" s="10"/>
      <c r="D112" s="9"/>
    </row>
    <row r="113" spans="1:4" x14ac:dyDescent="0.25">
      <c r="A113" s="8"/>
      <c r="C113" s="10"/>
      <c r="D113" s="9"/>
    </row>
    <row r="114" spans="1:4" x14ac:dyDescent="0.25">
      <c r="A114" s="8"/>
      <c r="C114" s="10"/>
      <c r="D114" s="9"/>
    </row>
    <row r="115" spans="1:4" x14ac:dyDescent="0.25">
      <c r="A115" s="8"/>
      <c r="C115" s="10"/>
      <c r="D115" s="9"/>
    </row>
    <row r="116" spans="1:4" x14ac:dyDescent="0.25">
      <c r="A116" s="8"/>
      <c r="C116" s="10"/>
      <c r="D116" s="9"/>
    </row>
    <row r="117" spans="1:4" x14ac:dyDescent="0.25">
      <c r="A117" s="8"/>
      <c r="C117" s="10"/>
      <c r="D117" s="9"/>
    </row>
    <row r="118" spans="1:4" x14ac:dyDescent="0.25">
      <c r="A118" s="8"/>
      <c r="C118" s="10"/>
      <c r="D118" s="9"/>
    </row>
    <row r="119" spans="1:4" x14ac:dyDescent="0.25">
      <c r="A119" s="8"/>
      <c r="C119" s="10"/>
      <c r="D119" s="9"/>
    </row>
    <row r="120" spans="1:4" x14ac:dyDescent="0.25">
      <c r="A120" s="8"/>
      <c r="C120" s="10"/>
      <c r="D120" s="9"/>
    </row>
    <row r="121" spans="1:4" x14ac:dyDescent="0.25">
      <c r="A121" s="8"/>
      <c r="C121" s="10"/>
      <c r="D121" s="9"/>
    </row>
    <row r="122" spans="1:4" x14ac:dyDescent="0.25">
      <c r="A122" s="8"/>
      <c r="C122" s="9"/>
    </row>
  </sheetData>
  <conditionalFormatting sqref="P7:P15">
    <cfRule type="containsText" dxfId="19" priority="4" operator="containsText" text="No">
      <formula>NOT(ISERROR(SEARCH("No",P7)))</formula>
    </cfRule>
  </conditionalFormatting>
  <conditionalFormatting sqref="P7:P15">
    <cfRule type="cellIs" dxfId="18" priority="2" operator="equal">
      <formula>"Sí"</formula>
    </cfRule>
    <cfRule type="containsText" dxfId="17" priority="3" operator="containsText" text="Si">
      <formula>NOT(ISERROR(SEARCH("Si",P7)))</formula>
    </cfRule>
  </conditionalFormatting>
  <conditionalFormatting sqref="P7:P15">
    <cfRule type="containsErrors" dxfId="16" priority="6">
      <formula>ISERROR(P7)</formula>
    </cfRule>
  </conditionalFormatting>
  <conditionalFormatting sqref="K7:K15 M7:O15">
    <cfRule type="containsErrors" dxfId="15" priority="5">
      <formula>ISERROR(K7)</formula>
    </cfRule>
  </conditionalFormatting>
  <conditionalFormatting sqref="Q7:R15">
    <cfRule type="containsBlanks" dxfId="14" priority="7">
      <formula>LEN(TRIM(Q7))=0</formula>
    </cfRule>
    <cfRule type="containsErrors" dxfId="13" priority="8">
      <formula>ISERROR(Q7)</formula>
    </cfRule>
  </conditionalFormatting>
  <conditionalFormatting sqref="L7:L15">
    <cfRule type="containsErrors" dxfId="12" priority="1">
      <formula>ISERROR(L7)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E7703-F064-4449-B105-39C57F2B275B}">
  <sheetPr codeName="Hoja1"/>
  <dimension ref="A1:L100"/>
  <sheetViews>
    <sheetView tabSelected="1" zoomScaleNormal="100" workbookViewId="0">
      <selection activeCell="C2" sqref="C2"/>
    </sheetView>
  </sheetViews>
  <sheetFormatPr baseColWidth="10" defaultColWidth="11.42578125" defaultRowHeight="15" x14ac:dyDescent="0.25"/>
  <cols>
    <col min="1" max="1" width="23.28515625" bestFit="1" customWidth="1"/>
    <col min="2" max="2" width="17" customWidth="1"/>
    <col min="3" max="3" width="20.28515625" customWidth="1"/>
    <col min="4" max="4" width="12.5703125" customWidth="1"/>
    <col min="5" max="5" width="16.28515625" customWidth="1"/>
    <col min="6" max="6" width="23.28515625" bestFit="1" customWidth="1"/>
    <col min="7" max="7" width="16" customWidth="1"/>
    <col min="8" max="8" width="16.5703125" customWidth="1"/>
    <col min="9" max="9" width="25.85546875" customWidth="1"/>
    <col min="10" max="10" width="16.28515625" customWidth="1"/>
    <col min="11" max="11" width="16.5703125" customWidth="1"/>
    <col min="12" max="12" width="16.140625" customWidth="1"/>
  </cols>
  <sheetData>
    <row r="1" spans="1:12" x14ac:dyDescent="0.25">
      <c r="A1" s="6" t="s">
        <v>0</v>
      </c>
      <c r="B1" s="6" t="s">
        <v>31</v>
      </c>
      <c r="C1" s="6" t="s">
        <v>23</v>
      </c>
      <c r="D1" s="6" t="s">
        <v>21</v>
      </c>
      <c r="E1" s="6" t="s">
        <v>24</v>
      </c>
      <c r="F1" s="6" t="s">
        <v>22</v>
      </c>
      <c r="G1" s="17" t="s">
        <v>28</v>
      </c>
      <c r="H1" s="17" t="s">
        <v>27</v>
      </c>
      <c r="I1" s="20" t="s">
        <v>33</v>
      </c>
      <c r="J1" s="20" t="b">
        <f>EXACT(B10, I1)</f>
        <v>0</v>
      </c>
      <c r="K1" s="20" t="s">
        <v>32</v>
      </c>
      <c r="L1" s="20" t="b">
        <f>EXACT(B2, K1)</f>
        <v>0</v>
      </c>
    </row>
    <row r="2" spans="1:12" x14ac:dyDescent="0.25">
      <c r="A2" s="7" t="str">
        <f>lectura_datos__3[[#This Row],[ID]]</f>
        <v>F5 A3 50 D6 ROBO</v>
      </c>
      <c r="B2" s="7" t="str">
        <f>lectura_datos__3[[#This Row],[ZONA]]</f>
        <v xml:space="preserve"> ZONA 1</v>
      </c>
      <c r="C2" s="14">
        <f>lectura_datos__3[[#This Row],[PESO]]</f>
        <v>995</v>
      </c>
      <c r="D2" s="12">
        <f>lectura_datos__3[[#This Row],[FECHA]]</f>
        <v>43236</v>
      </c>
      <c r="E2" s="13">
        <f>lectura_datos__3[[#This Row],[HORA]]</f>
        <v>0.47247685185185184</v>
      </c>
      <c r="F2" s="15" t="str">
        <f>IFERROR(VLOOKUP(Lectura!A2,Tabla13[],I2,FALSE),"No")</f>
        <v>No</v>
      </c>
      <c r="G2" s="18" t="str">
        <f t="shared" ref="G2:G64" si="0">IF(F2="No",A2,"")</f>
        <v>F5 A3 50 D6 ROBO</v>
      </c>
      <c r="H2" s="16">
        <f>IF(F2="No",C2,"")</f>
        <v>995</v>
      </c>
      <c r="I2" s="20">
        <f>IF(EXACT(B2, I$1), 4, 5)</f>
        <v>4</v>
      </c>
      <c r="J2" s="20"/>
      <c r="K2" s="20"/>
      <c r="L2" s="20"/>
    </row>
    <row r="3" spans="1:12" x14ac:dyDescent="0.25">
      <c r="A3" s="7" t="str">
        <f>lectura_datos__3[[#This Row],[ID]]</f>
        <v>F5 A3 50 D6</v>
      </c>
      <c r="B3" s="7" t="str">
        <f>lectura_datos__3[[#This Row],[ZONA]]</f>
        <v xml:space="preserve"> ZONA 1</v>
      </c>
      <c r="C3" s="14">
        <f>lectura_datos__3[[#This Row],[PESO]]</f>
        <v>831</v>
      </c>
      <c r="D3" s="12">
        <f>lectura_datos__3[[#This Row],[FECHA]]</f>
        <v>43236</v>
      </c>
      <c r="E3" s="13">
        <f>lectura_datos__3[[#This Row],[HORA]]</f>
        <v>0.4725347222222222</v>
      </c>
      <c r="F3" s="15" t="str">
        <f>IFERROR(VLOOKUP(Lectura!A3,Tabla13[],I3,FALSE),"No")</f>
        <v>Sí</v>
      </c>
      <c r="G3" s="18" t="str">
        <f t="shared" si="0"/>
        <v/>
      </c>
      <c r="H3" s="16" t="str">
        <f t="shared" ref="H3:H66" si="1">IF(F3="No",C3,"")</f>
        <v/>
      </c>
      <c r="I3" s="20">
        <f t="shared" ref="I3:I66" si="2">IF(EXACT(B3, I$1), 4, 5)</f>
        <v>4</v>
      </c>
      <c r="J3" s="20"/>
      <c r="K3" s="20"/>
      <c r="L3" s="20"/>
    </row>
    <row r="4" spans="1:12" x14ac:dyDescent="0.25">
      <c r="A4" s="7" t="str">
        <f>lectura_datos__3[[#This Row],[ID]]</f>
        <v>F5 A3 50 D6</v>
      </c>
      <c r="B4" s="7" t="str">
        <f>lectura_datos__3[[#This Row],[ZONA]]</f>
        <v xml:space="preserve"> ZONA 1</v>
      </c>
      <c r="C4" s="14">
        <f>lectura_datos__3[[#This Row],[PESO]]</f>
        <v>944</v>
      </c>
      <c r="D4" s="12">
        <f>lectura_datos__3[[#This Row],[FECHA]]</f>
        <v>43236</v>
      </c>
      <c r="E4" s="13">
        <f>lectura_datos__3[[#This Row],[HORA]]</f>
        <v>0.47259259259259262</v>
      </c>
      <c r="F4" s="15" t="str">
        <f>IFERROR(VLOOKUP(Lectura!A4,Tabla13[],I4,FALSE),"No")</f>
        <v>Sí</v>
      </c>
      <c r="G4" s="18" t="str">
        <f t="shared" si="0"/>
        <v/>
      </c>
      <c r="H4" s="16" t="str">
        <f t="shared" si="1"/>
        <v/>
      </c>
      <c r="I4" s="20">
        <f t="shared" si="2"/>
        <v>4</v>
      </c>
      <c r="J4" s="20"/>
      <c r="K4" s="20"/>
      <c r="L4" s="20"/>
    </row>
    <row r="5" spans="1:12" x14ac:dyDescent="0.25">
      <c r="A5" s="7" t="str">
        <f>lectura_datos__3[[#This Row],[ID]]</f>
        <v>F5 A3 50 D6</v>
      </c>
      <c r="B5" s="7" t="str">
        <f>lectura_datos__3[[#This Row],[ZONA]]</f>
        <v xml:space="preserve"> ZONA 2</v>
      </c>
      <c r="C5" s="14">
        <f>lectura_datos__3[[#This Row],[PESO]]</f>
        <v>427</v>
      </c>
      <c r="D5" s="12">
        <f>lectura_datos__3[[#This Row],[FECHA]]</f>
        <v>43236</v>
      </c>
      <c r="E5" s="13">
        <f>lectura_datos__3[[#This Row],[HORA]]</f>
        <v>0.47265046296296298</v>
      </c>
      <c r="F5" s="15" t="str">
        <f>IFERROR(VLOOKUP(Lectura!A5,Tabla13[],I5,FALSE),"No")</f>
        <v>No</v>
      </c>
      <c r="G5" s="18" t="str">
        <f t="shared" si="0"/>
        <v>F5 A3 50 D6</v>
      </c>
      <c r="H5" s="16">
        <f t="shared" si="1"/>
        <v>427</v>
      </c>
      <c r="I5" s="20">
        <f t="shared" si="2"/>
        <v>5</v>
      </c>
      <c r="J5" s="20"/>
      <c r="K5" s="20"/>
      <c r="L5" s="20"/>
    </row>
    <row r="6" spans="1:12" x14ac:dyDescent="0.25">
      <c r="A6" s="7" t="str">
        <f>lectura_datos__3[[#This Row],[ID]]</f>
        <v>F5 A3 50 D6 ROBO</v>
      </c>
      <c r="B6" s="7" t="str">
        <f>lectura_datos__3[[#This Row],[ZONA]]</f>
        <v xml:space="preserve"> ZONA 1</v>
      </c>
      <c r="C6" s="14">
        <f>lectura_datos__3[[#This Row],[PESO]]</f>
        <v>1009</v>
      </c>
      <c r="D6" s="12">
        <f>lectura_datos__3[[#This Row],[FECHA]]</f>
        <v>43236</v>
      </c>
      <c r="E6" s="13">
        <f>lectura_datos__3[[#This Row],[HORA]]</f>
        <v>0.4728472222222222</v>
      </c>
      <c r="F6" s="15" t="str">
        <f>IFERROR(VLOOKUP(Lectura!A6,Tabla13[],I6,FALSE),"No")</f>
        <v>No</v>
      </c>
      <c r="G6" s="18" t="str">
        <f t="shared" si="0"/>
        <v>F5 A3 50 D6 ROBO</v>
      </c>
      <c r="H6" s="16">
        <f t="shared" si="1"/>
        <v>1009</v>
      </c>
      <c r="I6" s="20">
        <f t="shared" si="2"/>
        <v>4</v>
      </c>
      <c r="J6" s="20"/>
      <c r="K6" s="20"/>
      <c r="L6" s="20"/>
    </row>
    <row r="7" spans="1:12" x14ac:dyDescent="0.25">
      <c r="A7" s="7" t="str">
        <f>lectura_datos__3[[#This Row],[ID]]</f>
        <v>F5 A3 50 D6</v>
      </c>
      <c r="B7" s="7" t="str">
        <f>lectura_datos__3[[#This Row],[ZONA]]</f>
        <v xml:space="preserve"> ZONA 1</v>
      </c>
      <c r="C7" s="14">
        <f>lectura_datos__3[[#This Row],[PESO]]</f>
        <v>976</v>
      </c>
      <c r="D7" s="12">
        <f>lectura_datos__3[[#This Row],[FECHA]]</f>
        <v>43236</v>
      </c>
      <c r="E7" s="13">
        <f>lectura_datos__3[[#This Row],[HORA]]</f>
        <v>0.47289351851851852</v>
      </c>
      <c r="F7" s="15" t="str">
        <f>IFERROR(VLOOKUP(Lectura!A7,Tabla13[],I7,FALSE),"No")</f>
        <v>Sí</v>
      </c>
      <c r="G7" s="18" t="str">
        <f t="shared" si="0"/>
        <v/>
      </c>
      <c r="H7" s="16" t="str">
        <f t="shared" si="1"/>
        <v/>
      </c>
      <c r="I7" s="20">
        <f t="shared" si="2"/>
        <v>4</v>
      </c>
      <c r="J7" s="20"/>
      <c r="K7" s="20"/>
      <c r="L7" s="20"/>
    </row>
    <row r="8" spans="1:12" x14ac:dyDescent="0.25">
      <c r="A8" s="7" t="str">
        <f>lectura_datos__3[[#This Row],[ID]]</f>
        <v>ROBO</v>
      </c>
      <c r="B8" s="7" t="str">
        <f>lectura_datos__3[[#This Row],[ZONA]]</f>
        <v xml:space="preserve"> ZONA 1</v>
      </c>
      <c r="C8" s="14">
        <f>lectura_datos__3[[#This Row],[PESO]]</f>
        <v>-59</v>
      </c>
      <c r="D8" s="12">
        <f>lectura_datos__3[[#This Row],[FECHA]]</f>
        <v>43236</v>
      </c>
      <c r="E8" s="13">
        <f>lectura_datos__3[[#This Row],[HORA]]</f>
        <v>0.47290509259259261</v>
      </c>
      <c r="F8" s="15" t="str">
        <f>IFERROR(VLOOKUP(Lectura!A8,Tabla13[],I8,FALSE),"No")</f>
        <v>No</v>
      </c>
      <c r="G8" s="18" t="str">
        <f t="shared" si="0"/>
        <v>ROBO</v>
      </c>
      <c r="H8" s="16">
        <f t="shared" si="1"/>
        <v>-59</v>
      </c>
      <c r="I8" s="20">
        <f t="shared" si="2"/>
        <v>4</v>
      </c>
      <c r="J8" s="20"/>
      <c r="K8" s="20"/>
      <c r="L8" s="20"/>
    </row>
    <row r="9" spans="1:12" x14ac:dyDescent="0.25">
      <c r="A9" s="7" t="str">
        <f>lectura_datos__3[[#This Row],[ID]]</f>
        <v>F5 A3 50 D6</v>
      </c>
      <c r="B9" s="7" t="str">
        <f>lectura_datos__3[[#This Row],[ZONA]]</f>
        <v xml:space="preserve"> ZONA 1</v>
      </c>
      <c r="C9" s="14">
        <f>lectura_datos__3[[#This Row],[PESO]]</f>
        <v>871</v>
      </c>
      <c r="D9" s="12">
        <f>lectura_datos__3[[#This Row],[FECHA]]</f>
        <v>43236</v>
      </c>
      <c r="E9" s="13">
        <f>lectura_datos__3[[#This Row],[HORA]]</f>
        <v>0.47291666666666665</v>
      </c>
      <c r="F9" s="15" t="str">
        <f>IFERROR(VLOOKUP(Lectura!A9,Tabla13[],I9,FALSE),"No")</f>
        <v>Sí</v>
      </c>
      <c r="G9" s="18" t="str">
        <f t="shared" ref="G9:G50" si="3">IF(F9="No",A9,"")</f>
        <v/>
      </c>
      <c r="H9" s="16" t="str">
        <f t="shared" ref="H9:H50" si="4">IF(F9="No",C9,"")</f>
        <v/>
      </c>
      <c r="I9" s="20">
        <f t="shared" si="2"/>
        <v>4</v>
      </c>
    </row>
    <row r="10" spans="1:12" ht="13.9" customHeight="1" x14ac:dyDescent="0.25">
      <c r="A10" s="7" t="str">
        <f>lectura_datos__3[[#This Row],[ID]]</f>
        <v>F5 A3 50 D6</v>
      </c>
      <c r="B10" s="7" t="str">
        <f>lectura_datos__3[[#This Row],[ZONA]]</f>
        <v xml:space="preserve"> ZONA 2</v>
      </c>
      <c r="C10" s="14">
        <f>lectura_datos__3[[#This Row],[PESO]]</f>
        <v>390</v>
      </c>
      <c r="D10" s="12">
        <f>lectura_datos__3[[#This Row],[FECHA]]</f>
        <v>43236</v>
      </c>
      <c r="E10" s="13">
        <f>lectura_datos__3[[#This Row],[HORA]]</f>
        <v>0.47297453703703701</v>
      </c>
      <c r="F10" s="15" t="str">
        <f>IFERROR(VLOOKUP(Lectura!A10,Tabla13[],I10,FALSE),"No")</f>
        <v>No</v>
      </c>
      <c r="G10" s="18" t="str">
        <f t="shared" si="3"/>
        <v>F5 A3 50 D6</v>
      </c>
      <c r="H10" s="16">
        <f t="shared" si="4"/>
        <v>390</v>
      </c>
      <c r="I10" s="20">
        <f t="shared" si="2"/>
        <v>5</v>
      </c>
    </row>
    <row r="11" spans="1:12" x14ac:dyDescent="0.25">
      <c r="A11" s="7" t="str">
        <f>lectura_datos__3[[#This Row],[ID]]</f>
        <v>ROBO</v>
      </c>
      <c r="B11" s="7" t="str">
        <f>lectura_datos__3[[#This Row],[ZONA]]</f>
        <v xml:space="preserve"> ZONA 1</v>
      </c>
      <c r="C11" s="14">
        <f>lectura_datos__3[[#This Row],[PESO]]</f>
        <v>993</v>
      </c>
      <c r="D11" s="12">
        <f>lectura_datos__3[[#This Row],[FECHA]]</f>
        <v>43236</v>
      </c>
      <c r="E11" s="13">
        <f>lectura_datos__3[[#This Row],[HORA]]</f>
        <v>0.4730787037037037</v>
      </c>
      <c r="F11" s="15" t="str">
        <f>IFERROR(VLOOKUP(Lectura!A11,Tabla13[],I11,FALSE),"No")</f>
        <v>No</v>
      </c>
      <c r="G11" s="18" t="str">
        <f t="shared" si="3"/>
        <v>ROBO</v>
      </c>
      <c r="H11" s="16">
        <f t="shared" si="4"/>
        <v>993</v>
      </c>
      <c r="I11" s="20">
        <f t="shared" si="2"/>
        <v>4</v>
      </c>
    </row>
    <row r="12" spans="1:12" x14ac:dyDescent="0.25">
      <c r="A12" s="7" t="str">
        <f>lectura_datos__3[[#This Row],[ID]]</f>
        <v>ROBO</v>
      </c>
      <c r="B12" s="7" t="str">
        <f>lectura_datos__3[[#This Row],[ZONA]]</f>
        <v xml:space="preserve"> ZONA 1</v>
      </c>
      <c r="C12" s="14">
        <f>lectura_datos__3[[#This Row],[PESO]]</f>
        <v>21</v>
      </c>
      <c r="D12" s="12">
        <f>lectura_datos__3[[#This Row],[FECHA]]</f>
        <v>43236</v>
      </c>
      <c r="E12" s="13">
        <f>lectura_datos__3[[#This Row],[HORA]]</f>
        <v>0.4730787037037037</v>
      </c>
      <c r="F12" s="15" t="str">
        <f>IFERROR(VLOOKUP(Lectura!A12,Tabla13[],I12,FALSE),"No")</f>
        <v>No</v>
      </c>
      <c r="G12" s="18" t="str">
        <f t="shared" si="3"/>
        <v>ROBO</v>
      </c>
      <c r="H12" s="16">
        <f t="shared" si="4"/>
        <v>21</v>
      </c>
      <c r="I12" s="20">
        <f t="shared" si="2"/>
        <v>4</v>
      </c>
    </row>
    <row r="13" spans="1:12" x14ac:dyDescent="0.25">
      <c r="A13" s="7" t="str">
        <f>lectura_datos__3[[#This Row],[ID]]</f>
        <v>ROBO</v>
      </c>
      <c r="B13" s="7" t="str">
        <f>lectura_datos__3[[#This Row],[ZONA]]</f>
        <v xml:space="preserve"> ZONA 1</v>
      </c>
      <c r="C13" s="14">
        <f>lectura_datos__3[[#This Row],[PESO]]</f>
        <v>-1014</v>
      </c>
      <c r="D13" s="12">
        <f>lectura_datos__3[[#This Row],[FECHA]]</f>
        <v>43236</v>
      </c>
      <c r="E13" s="13">
        <f>lectura_datos__3[[#This Row],[HORA]]</f>
        <v>0.4730787037037037</v>
      </c>
      <c r="F13" s="15" t="str">
        <f>IFERROR(VLOOKUP(Lectura!A13,Tabla13[],I13,FALSE),"No")</f>
        <v>No</v>
      </c>
      <c r="G13" s="18" t="str">
        <f t="shared" si="3"/>
        <v>ROBO</v>
      </c>
      <c r="H13" s="16">
        <f t="shared" si="4"/>
        <v>-1014</v>
      </c>
      <c r="I13" s="20">
        <f t="shared" si="2"/>
        <v>4</v>
      </c>
    </row>
    <row r="14" spans="1:12" x14ac:dyDescent="0.25">
      <c r="A14" s="7" t="str">
        <f>lectura_datos__3[[#This Row],[ID]]</f>
        <v>F5 A3 50 D6 ROBO</v>
      </c>
      <c r="B14" s="7" t="str">
        <f>lectura_datos__3[[#This Row],[ZONA]]</f>
        <v xml:space="preserve"> ZONA 1</v>
      </c>
      <c r="C14" s="14">
        <f>lectura_datos__3[[#This Row],[PESO]]</f>
        <v>1008</v>
      </c>
      <c r="D14" s="12">
        <f>lectura_datos__3[[#This Row],[FECHA]]</f>
        <v>43236</v>
      </c>
      <c r="E14" s="13">
        <f>lectura_datos__3[[#This Row],[HORA]]</f>
        <v>0.47311342592592592</v>
      </c>
      <c r="F14" s="15" t="str">
        <f>IFERROR(VLOOKUP(Lectura!A14,Tabla13[],I14,FALSE),"No")</f>
        <v>No</v>
      </c>
      <c r="G14" s="18" t="str">
        <f t="shared" si="3"/>
        <v>F5 A3 50 D6 ROBO</v>
      </c>
      <c r="H14" s="16">
        <f t="shared" si="4"/>
        <v>1008</v>
      </c>
      <c r="I14" s="20">
        <f t="shared" si="2"/>
        <v>4</v>
      </c>
    </row>
    <row r="15" spans="1:12" x14ac:dyDescent="0.25">
      <c r="A15" s="7" t="str">
        <f>lectura_datos__3[[#This Row],[ID]]</f>
        <v>F5 A3 50 D6</v>
      </c>
      <c r="B15" s="7" t="str">
        <f>lectura_datos__3[[#This Row],[ZONA]]</f>
        <v xml:space="preserve"> ZONA 1</v>
      </c>
      <c r="C15" s="14">
        <f>lectura_datos__3[[#This Row],[PESO]]</f>
        <v>763</v>
      </c>
      <c r="D15" s="12">
        <f>lectura_datos__3[[#This Row],[FECHA]]</f>
        <v>43236</v>
      </c>
      <c r="E15" s="13">
        <f>lectura_datos__3[[#This Row],[HORA]]</f>
        <v>0.47318287037037038</v>
      </c>
      <c r="F15" s="15" t="str">
        <f>IFERROR(VLOOKUP(Lectura!A15,Tabla13[],I15,FALSE),"No")</f>
        <v>Sí</v>
      </c>
      <c r="G15" s="18" t="str">
        <f t="shared" si="3"/>
        <v/>
      </c>
      <c r="H15" s="16" t="str">
        <f t="shared" si="4"/>
        <v/>
      </c>
      <c r="I15" s="20">
        <f t="shared" si="2"/>
        <v>4</v>
      </c>
    </row>
    <row r="16" spans="1:12" x14ac:dyDescent="0.25">
      <c r="A16" s="7" t="str">
        <f>lectura_datos__3[[#This Row],[ID]]</f>
        <v>ROBO</v>
      </c>
      <c r="B16" s="7" t="str">
        <f>lectura_datos__3[[#This Row],[ZONA]]</f>
        <v xml:space="preserve"> ZONA 1</v>
      </c>
      <c r="C16" s="14">
        <f>lectura_datos__3[[#This Row],[PESO]]</f>
        <v>1005</v>
      </c>
      <c r="D16" s="12">
        <f>lectura_datos__3[[#This Row],[FECHA]]</f>
        <v>43236</v>
      </c>
      <c r="E16" s="13">
        <f>lectura_datos__3[[#This Row],[HORA]]</f>
        <v>0.4732986111111111</v>
      </c>
      <c r="F16" s="15" t="str">
        <f>IFERROR(VLOOKUP(Lectura!A16,Tabla13[],I16,FALSE),"No")</f>
        <v>No</v>
      </c>
      <c r="G16" s="18" t="str">
        <f t="shared" si="3"/>
        <v>ROBO</v>
      </c>
      <c r="H16" s="16">
        <f t="shared" si="4"/>
        <v>1005</v>
      </c>
      <c r="I16" s="20">
        <f t="shared" si="2"/>
        <v>4</v>
      </c>
    </row>
    <row r="17" spans="1:9" x14ac:dyDescent="0.25">
      <c r="A17" s="7" t="str">
        <f>lectura_datos__3[[#This Row],[ID]]</f>
        <v>ROBO</v>
      </c>
      <c r="B17" s="7" t="str">
        <f>lectura_datos__3[[#This Row],[ZONA]]</f>
        <v xml:space="preserve"> ZONA 1</v>
      </c>
      <c r="C17" s="14">
        <f>lectura_datos__3[[#This Row],[PESO]]</f>
        <v>-1005</v>
      </c>
      <c r="D17" s="12">
        <f>lectura_datos__3[[#This Row],[FECHA]]</f>
        <v>43236</v>
      </c>
      <c r="E17" s="13">
        <f>lectura_datos__3[[#This Row],[HORA]]</f>
        <v>0.4732986111111111</v>
      </c>
      <c r="F17" s="15" t="str">
        <f>IFERROR(VLOOKUP(Lectura!A17,Tabla13[],I17,FALSE),"No")</f>
        <v>No</v>
      </c>
      <c r="G17" s="18" t="str">
        <f t="shared" si="3"/>
        <v>ROBO</v>
      </c>
      <c r="H17" s="16">
        <f t="shared" si="4"/>
        <v>-1005</v>
      </c>
      <c r="I17" s="20">
        <f t="shared" si="2"/>
        <v>4</v>
      </c>
    </row>
    <row r="18" spans="1:9" x14ac:dyDescent="0.25">
      <c r="A18" s="7" t="str">
        <f>lectura_datos__3[[#This Row],[ID]]</f>
        <v>F5 A3 50 D6</v>
      </c>
      <c r="B18" s="7" t="str">
        <f>lectura_datos__3[[#This Row],[ZONA]]</f>
        <v xml:space="preserve"> ZONA 1</v>
      </c>
      <c r="C18" s="14">
        <f>lectura_datos__3[[#This Row],[PESO]]</f>
        <v>972</v>
      </c>
      <c r="D18" s="12">
        <f>lectura_datos__3[[#This Row],[FECHA]]</f>
        <v>43236</v>
      </c>
      <c r="E18" s="13">
        <f>lectura_datos__3[[#This Row],[HORA]]</f>
        <v>0.47334490740740742</v>
      </c>
      <c r="F18" s="15" t="str">
        <f>IFERROR(VLOOKUP(Lectura!A18,Tabla13[],I18,FALSE),"No")</f>
        <v>Sí</v>
      </c>
      <c r="G18" s="18" t="str">
        <f t="shared" si="3"/>
        <v/>
      </c>
      <c r="H18" s="16" t="str">
        <f t="shared" si="4"/>
        <v/>
      </c>
      <c r="I18" s="20">
        <f t="shared" si="2"/>
        <v>4</v>
      </c>
    </row>
    <row r="19" spans="1:9" x14ac:dyDescent="0.25">
      <c r="A19" s="7" t="str">
        <f>lectura_datos__3[[#This Row],[ID]]</f>
        <v>ROBO</v>
      </c>
      <c r="B19" s="7" t="str">
        <f>lectura_datos__3[[#This Row],[ZONA]]</f>
        <v xml:space="preserve"> ZONA 2</v>
      </c>
      <c r="C19" s="14">
        <f>lectura_datos__3[[#This Row],[PESO]]</f>
        <v>338</v>
      </c>
      <c r="D19" s="12">
        <f>lectura_datos__3[[#This Row],[FECHA]]</f>
        <v>43236</v>
      </c>
      <c r="E19" s="13">
        <f>lectura_datos__3[[#This Row],[HORA]]</f>
        <v>0.47347222222222224</v>
      </c>
      <c r="F19" s="15" t="str">
        <f>IFERROR(VLOOKUP(Lectura!A19,Tabla13[],I19,FALSE),"No")</f>
        <v>No</v>
      </c>
      <c r="G19" s="18" t="str">
        <f t="shared" si="3"/>
        <v>ROBO</v>
      </c>
      <c r="H19" s="16">
        <f t="shared" si="4"/>
        <v>338</v>
      </c>
      <c r="I19" s="20">
        <f t="shared" si="2"/>
        <v>5</v>
      </c>
    </row>
    <row r="20" spans="1:9" x14ac:dyDescent="0.25">
      <c r="A20" s="7" t="str">
        <f>lectura_datos__3[[#This Row],[ID]]</f>
        <v>ROBO</v>
      </c>
      <c r="B20" s="7" t="str">
        <f>lectura_datos__3[[#This Row],[ZONA]]</f>
        <v xml:space="preserve"> ZONA 2</v>
      </c>
      <c r="C20" s="14">
        <f>lectura_datos__3[[#This Row],[PESO]]</f>
        <v>374</v>
      </c>
      <c r="D20" s="12">
        <f>lectura_datos__3[[#This Row],[FECHA]]</f>
        <v>43236</v>
      </c>
      <c r="E20" s="13">
        <f>lectura_datos__3[[#This Row],[HORA]]</f>
        <v>0.47347222222222224</v>
      </c>
      <c r="F20" s="15" t="str">
        <f>IFERROR(VLOOKUP(Lectura!A20,Tabla13[],I20,FALSE),"No")</f>
        <v>No</v>
      </c>
      <c r="G20" s="18" t="str">
        <f t="shared" si="3"/>
        <v>ROBO</v>
      </c>
      <c r="H20" s="16">
        <f t="shared" si="4"/>
        <v>374</v>
      </c>
      <c r="I20" s="20">
        <f t="shared" si="2"/>
        <v>5</v>
      </c>
    </row>
    <row r="21" spans="1:9" x14ac:dyDescent="0.25">
      <c r="A21" s="7" t="str">
        <f>lectura_datos__3[[#This Row],[ID]]</f>
        <v>ROBO</v>
      </c>
      <c r="B21" s="7" t="str">
        <f>lectura_datos__3[[#This Row],[ZONA]]</f>
        <v xml:space="preserve"> ZONA 2</v>
      </c>
      <c r="C21" s="14">
        <f>lectura_datos__3[[#This Row],[PESO]]</f>
        <v>137</v>
      </c>
      <c r="D21" s="12">
        <f>lectura_datos__3[[#This Row],[FECHA]]</f>
        <v>43236</v>
      </c>
      <c r="E21" s="13">
        <f>lectura_datos__3[[#This Row],[HORA]]</f>
        <v>0.47347222222222224</v>
      </c>
      <c r="F21" s="15" t="str">
        <f>IFERROR(VLOOKUP(Lectura!A21,Tabla13[],I21,FALSE),"No")</f>
        <v>No</v>
      </c>
      <c r="G21" s="18" t="str">
        <f t="shared" si="3"/>
        <v>ROBO</v>
      </c>
      <c r="H21" s="16">
        <f t="shared" si="4"/>
        <v>137</v>
      </c>
      <c r="I21" s="20">
        <f t="shared" si="2"/>
        <v>5</v>
      </c>
    </row>
    <row r="22" spans="1:9" x14ac:dyDescent="0.25">
      <c r="A22" s="7" t="str">
        <f>lectura_datos__3[[#This Row],[ID]]</f>
        <v>ROBO</v>
      </c>
      <c r="B22" s="7" t="str">
        <f>lectura_datos__3[[#This Row],[ZONA]]</f>
        <v xml:space="preserve"> ZONA 2</v>
      </c>
      <c r="C22" s="14">
        <f>lectura_datos__3[[#This Row],[PESO]]</f>
        <v>55</v>
      </c>
      <c r="D22" s="12">
        <f>lectura_datos__3[[#This Row],[FECHA]]</f>
        <v>43236</v>
      </c>
      <c r="E22" s="13">
        <f>lectura_datos__3[[#This Row],[HORA]]</f>
        <v>0.47347222222222224</v>
      </c>
      <c r="F22" s="15" t="str">
        <f>IFERROR(VLOOKUP(Lectura!A22,Tabla13[],I22,FALSE),"No")</f>
        <v>No</v>
      </c>
      <c r="G22" s="18" t="str">
        <f t="shared" si="3"/>
        <v>ROBO</v>
      </c>
      <c r="H22" s="16">
        <f t="shared" si="4"/>
        <v>55</v>
      </c>
      <c r="I22" s="20">
        <f t="shared" si="2"/>
        <v>5</v>
      </c>
    </row>
    <row r="23" spans="1:9" x14ac:dyDescent="0.25">
      <c r="A23" s="7" t="str">
        <f>lectura_datos__3[[#This Row],[ID]]</f>
        <v>ROBO</v>
      </c>
      <c r="B23" s="7" t="str">
        <f>lectura_datos__3[[#This Row],[ZONA]]</f>
        <v xml:space="preserve"> ZONA 2</v>
      </c>
      <c r="C23" s="14">
        <f>lectura_datos__3[[#This Row],[PESO]]</f>
        <v>27</v>
      </c>
      <c r="D23" s="12">
        <f>lectura_datos__3[[#This Row],[FECHA]]</f>
        <v>43236</v>
      </c>
      <c r="E23" s="13">
        <f>lectura_datos__3[[#This Row],[HORA]]</f>
        <v>0.47347222222222224</v>
      </c>
      <c r="F23" s="15" t="str">
        <f>IFERROR(VLOOKUP(Lectura!A23,Tabla13[],I23,FALSE),"No")</f>
        <v>No</v>
      </c>
      <c r="G23" s="18" t="str">
        <f t="shared" si="3"/>
        <v>ROBO</v>
      </c>
      <c r="H23" s="16">
        <f t="shared" si="4"/>
        <v>27</v>
      </c>
      <c r="I23" s="20">
        <f t="shared" si="2"/>
        <v>5</v>
      </c>
    </row>
    <row r="24" spans="1:9" x14ac:dyDescent="0.25">
      <c r="A24" s="7" t="str">
        <f>lectura_datos__3[[#This Row],[ID]]</f>
        <v>ROBO</v>
      </c>
      <c r="B24" s="7" t="str">
        <f>lectura_datos__3[[#This Row],[ZONA]]</f>
        <v xml:space="preserve"> ZONA 2</v>
      </c>
      <c r="C24" s="14">
        <f>lectura_datos__3[[#This Row],[PESO]]</f>
        <v>30</v>
      </c>
      <c r="D24" s="12">
        <f>lectura_datos__3[[#This Row],[FECHA]]</f>
        <v>43236</v>
      </c>
      <c r="E24" s="13">
        <f>lectura_datos__3[[#This Row],[HORA]]</f>
        <v>0.47347222222222224</v>
      </c>
      <c r="F24" s="15" t="str">
        <f>IFERROR(VLOOKUP(Lectura!A24,Tabla13[],I24,FALSE),"No")</f>
        <v>No</v>
      </c>
      <c r="G24" s="18" t="str">
        <f t="shared" si="3"/>
        <v>ROBO</v>
      </c>
      <c r="H24" s="16">
        <f t="shared" si="4"/>
        <v>30</v>
      </c>
      <c r="I24" s="20">
        <f t="shared" si="2"/>
        <v>5</v>
      </c>
    </row>
    <row r="25" spans="1:9" x14ac:dyDescent="0.25">
      <c r="A25" s="7" t="str">
        <f>lectura_datos__3[[#This Row],[ID]]</f>
        <v>ROBO</v>
      </c>
      <c r="B25" s="7" t="str">
        <f>lectura_datos__3[[#This Row],[ZONA]]</f>
        <v xml:space="preserve"> ZONA 2</v>
      </c>
      <c r="C25" s="14">
        <f>lectura_datos__3[[#This Row],[PESO]]</f>
        <v>18</v>
      </c>
      <c r="D25" s="12">
        <f>lectura_datos__3[[#This Row],[FECHA]]</f>
        <v>43236</v>
      </c>
      <c r="E25" s="13">
        <f>lectura_datos__3[[#This Row],[HORA]]</f>
        <v>0.47347222222222224</v>
      </c>
      <c r="F25" s="15" t="str">
        <f>IFERROR(VLOOKUP(Lectura!A25,Tabla13[],I25,FALSE),"No")</f>
        <v>No</v>
      </c>
      <c r="G25" s="18" t="str">
        <f t="shared" si="3"/>
        <v>ROBO</v>
      </c>
      <c r="H25" s="16">
        <f t="shared" si="4"/>
        <v>18</v>
      </c>
      <c r="I25" s="20">
        <f t="shared" si="2"/>
        <v>5</v>
      </c>
    </row>
    <row r="26" spans="1:9" x14ac:dyDescent="0.25">
      <c r="A26" s="7" t="str">
        <f>lectura_datos__3[[#This Row],[ID]]</f>
        <v>ROBO</v>
      </c>
      <c r="B26" s="7" t="str">
        <f>lectura_datos__3[[#This Row],[ZONA]]</f>
        <v xml:space="preserve"> ZONA 2</v>
      </c>
      <c r="C26" s="14">
        <f>lectura_datos__3[[#This Row],[PESO]]</f>
        <v>1</v>
      </c>
      <c r="D26" s="12">
        <f>lectura_datos__3[[#This Row],[FECHA]]</f>
        <v>43236</v>
      </c>
      <c r="E26" s="13">
        <f>lectura_datos__3[[#This Row],[HORA]]</f>
        <v>0.47347222222222224</v>
      </c>
      <c r="F26" s="15" t="str">
        <f>IFERROR(VLOOKUP(Lectura!A26,Tabla13[],I26,FALSE),"No")</f>
        <v>No</v>
      </c>
      <c r="G26" s="18" t="str">
        <f t="shared" si="3"/>
        <v>ROBO</v>
      </c>
      <c r="H26" s="16">
        <f t="shared" si="4"/>
        <v>1</v>
      </c>
      <c r="I26" s="20">
        <f t="shared" si="2"/>
        <v>5</v>
      </c>
    </row>
    <row r="27" spans="1:9" x14ac:dyDescent="0.25">
      <c r="A27" s="7" t="str">
        <f>lectura_datos__3[[#This Row],[ID]]</f>
        <v>ROBO</v>
      </c>
      <c r="B27" s="7" t="str">
        <f>lectura_datos__3[[#This Row],[ZONA]]</f>
        <v xml:space="preserve"> ZONA 1</v>
      </c>
      <c r="C27" s="14">
        <f>lectura_datos__3[[#This Row],[PESO]]</f>
        <v>-27</v>
      </c>
      <c r="D27" s="12">
        <f>lectura_datos__3[[#This Row],[FECHA]]</f>
        <v>43236</v>
      </c>
      <c r="E27" s="13">
        <f>lectura_datos__3[[#This Row],[HORA]]</f>
        <v>0.47347222222222224</v>
      </c>
      <c r="F27" s="15" t="str">
        <f>IFERROR(VLOOKUP(Lectura!A27,Tabla13[],I27,FALSE),"No")</f>
        <v>No</v>
      </c>
      <c r="G27" s="18" t="str">
        <f t="shared" si="3"/>
        <v>ROBO</v>
      </c>
      <c r="H27" s="16">
        <f t="shared" si="4"/>
        <v>-27</v>
      </c>
      <c r="I27" s="20">
        <f t="shared" si="2"/>
        <v>4</v>
      </c>
    </row>
    <row r="28" spans="1:9" x14ac:dyDescent="0.25">
      <c r="A28" s="7" t="str">
        <f>lectura_datos__3[[#This Row],[ID]]</f>
        <v>ROBO</v>
      </c>
      <c r="B28" s="7" t="str">
        <f>lectura_datos__3[[#This Row],[ZONA]]</f>
        <v xml:space="preserve"> ZONA 2</v>
      </c>
      <c r="C28" s="14">
        <f>lectura_datos__3[[#This Row],[PESO]]</f>
        <v>-12</v>
      </c>
      <c r="D28" s="12">
        <f>lectura_datos__3[[#This Row],[FECHA]]</f>
        <v>43236</v>
      </c>
      <c r="E28" s="13">
        <f>lectura_datos__3[[#This Row],[HORA]]</f>
        <v>0.47347222222222224</v>
      </c>
      <c r="F28" s="15" t="str">
        <f>IFERROR(VLOOKUP(Lectura!A28,Tabla13[],I28,FALSE),"No")</f>
        <v>No</v>
      </c>
      <c r="G28" s="18" t="str">
        <f t="shared" si="3"/>
        <v>ROBO</v>
      </c>
      <c r="H28" s="16">
        <f t="shared" si="4"/>
        <v>-12</v>
      </c>
      <c r="I28" s="20">
        <f t="shared" si="2"/>
        <v>5</v>
      </c>
    </row>
    <row r="29" spans="1:9" x14ac:dyDescent="0.25">
      <c r="A29" s="7" t="str">
        <f>lectura_datos__3[[#This Row],[ID]]</f>
        <v>ROBO</v>
      </c>
      <c r="B29" s="7" t="str">
        <f>lectura_datos__3[[#This Row],[ZONA]]</f>
        <v xml:space="preserve"> ZONA 2</v>
      </c>
      <c r="C29" s="14">
        <f>lectura_datos__3[[#This Row],[PESO]]</f>
        <v>-26</v>
      </c>
      <c r="D29" s="12">
        <f>lectura_datos__3[[#This Row],[FECHA]]</f>
        <v>43236</v>
      </c>
      <c r="E29" s="13">
        <f>lectura_datos__3[[#This Row],[HORA]]</f>
        <v>0.47347222222222224</v>
      </c>
      <c r="F29" s="15" t="str">
        <f>IFERROR(VLOOKUP(Lectura!A29,Tabla13[],I29,FALSE),"No")</f>
        <v>No</v>
      </c>
      <c r="G29" s="18" t="str">
        <f t="shared" si="3"/>
        <v>ROBO</v>
      </c>
      <c r="H29" s="16">
        <f t="shared" si="4"/>
        <v>-26</v>
      </c>
      <c r="I29" s="20">
        <f t="shared" si="2"/>
        <v>5</v>
      </c>
    </row>
    <row r="30" spans="1:9" x14ac:dyDescent="0.25">
      <c r="A30" s="7" t="str">
        <f>lectura_datos__3[[#This Row],[ID]]</f>
        <v>ROBO</v>
      </c>
      <c r="B30" s="7" t="str">
        <f>lectura_datos__3[[#This Row],[ZONA]]</f>
        <v xml:space="preserve"> ZONA 2</v>
      </c>
      <c r="C30" s="14">
        <f>lectura_datos__3[[#This Row],[PESO]]</f>
        <v>-94</v>
      </c>
      <c r="D30" s="12">
        <f>lectura_datos__3[[#This Row],[FECHA]]</f>
        <v>43236</v>
      </c>
      <c r="E30" s="13">
        <f>lectura_datos__3[[#This Row],[HORA]]</f>
        <v>0.47347222222222224</v>
      </c>
      <c r="F30" s="15" t="str">
        <f>IFERROR(VLOOKUP(Lectura!A30,Tabla13[],I30,FALSE),"No")</f>
        <v>No</v>
      </c>
      <c r="G30" s="18" t="str">
        <f t="shared" si="3"/>
        <v>ROBO</v>
      </c>
      <c r="H30" s="16">
        <f t="shared" si="4"/>
        <v>-94</v>
      </c>
      <c r="I30" s="20">
        <f t="shared" si="2"/>
        <v>5</v>
      </c>
    </row>
    <row r="31" spans="1:9" x14ac:dyDescent="0.25">
      <c r="A31" s="7" t="str">
        <f>lectura_datos__3[[#This Row],[ID]]</f>
        <v>ROBO</v>
      </c>
      <c r="B31" s="7" t="str">
        <f>lectura_datos__3[[#This Row],[ZONA]]</f>
        <v xml:space="preserve"> ZONA 2</v>
      </c>
      <c r="C31" s="14">
        <f>lectura_datos__3[[#This Row],[PESO]]</f>
        <v>-262</v>
      </c>
      <c r="D31" s="12">
        <f>lectura_datos__3[[#This Row],[FECHA]]</f>
        <v>43236</v>
      </c>
      <c r="E31" s="13">
        <f>lectura_datos__3[[#This Row],[HORA]]</f>
        <v>0.47347222222222224</v>
      </c>
      <c r="F31" s="15" t="str">
        <f>IFERROR(VLOOKUP(Lectura!A31,Tabla13[],I31,FALSE),"No")</f>
        <v>No</v>
      </c>
      <c r="G31" s="18" t="str">
        <f t="shared" si="3"/>
        <v>ROBO</v>
      </c>
      <c r="H31" s="16">
        <f t="shared" si="4"/>
        <v>-262</v>
      </c>
      <c r="I31" s="20">
        <f t="shared" si="2"/>
        <v>5</v>
      </c>
    </row>
    <row r="32" spans="1:9" x14ac:dyDescent="0.25">
      <c r="A32" s="7" t="str">
        <f>lectura_datos__3[[#This Row],[ID]]</f>
        <v>ROBO</v>
      </c>
      <c r="B32" s="7" t="str">
        <f>lectura_datos__3[[#This Row],[ZONA]]</f>
        <v xml:space="preserve"> ZONA 2</v>
      </c>
      <c r="C32" s="14">
        <f>lectura_datos__3[[#This Row],[PESO]]</f>
        <v>-586</v>
      </c>
      <c r="D32" s="12">
        <f>lectura_datos__3[[#This Row],[FECHA]]</f>
        <v>43236</v>
      </c>
      <c r="E32" s="13">
        <f>lectura_datos__3[[#This Row],[HORA]]</f>
        <v>0.47348379629629628</v>
      </c>
      <c r="F32" s="15" t="str">
        <f>IFERROR(VLOOKUP(Lectura!A32,Tabla13[],I32,FALSE),"No")</f>
        <v>No</v>
      </c>
      <c r="G32" s="18" t="str">
        <f t="shared" si="3"/>
        <v>ROBO</v>
      </c>
      <c r="H32" s="16">
        <f t="shared" si="4"/>
        <v>-586</v>
      </c>
      <c r="I32" s="20">
        <f t="shared" si="2"/>
        <v>5</v>
      </c>
    </row>
    <row r="33" spans="1:9" x14ac:dyDescent="0.25">
      <c r="A33" s="7" t="str">
        <f>lectura_datos__3[[#This Row],[ID]]</f>
        <v>F5 A3 50 D6</v>
      </c>
      <c r="B33" s="7" t="str">
        <f>lectura_datos__3[[#This Row],[ZONA]]</f>
        <v xml:space="preserve"> ZONA 2</v>
      </c>
      <c r="C33" s="14">
        <f>lectura_datos__3[[#This Row],[PESO]]</f>
        <v>590</v>
      </c>
      <c r="D33" s="12">
        <f>lectura_datos__3[[#This Row],[FECHA]]</f>
        <v>43236</v>
      </c>
      <c r="E33" s="13">
        <f>lectura_datos__3[[#This Row],[HORA]]</f>
        <v>0.47355324074074073</v>
      </c>
      <c r="F33" s="15" t="str">
        <f>IFERROR(VLOOKUP(Lectura!A33,Tabla13[],I33,FALSE),"No")</f>
        <v>No</v>
      </c>
      <c r="G33" s="18" t="str">
        <f t="shared" si="3"/>
        <v>F5 A3 50 D6</v>
      </c>
      <c r="H33" s="16">
        <f t="shared" si="4"/>
        <v>590</v>
      </c>
      <c r="I33" s="20">
        <f t="shared" si="2"/>
        <v>5</v>
      </c>
    </row>
    <row r="34" spans="1:9" x14ac:dyDescent="0.25">
      <c r="A34" s="7" t="str">
        <f>lectura_datos__3[[#This Row],[ID]]</f>
        <v>ROBO</v>
      </c>
      <c r="B34" s="7" t="str">
        <f>lectura_datos__3[[#This Row],[ZONA]]</f>
        <v xml:space="preserve"> ZONA 2</v>
      </c>
      <c r="C34" s="14">
        <f>lectura_datos__3[[#This Row],[PESO]]</f>
        <v>174</v>
      </c>
      <c r="D34" s="12">
        <f>lectura_datos__3[[#This Row],[FECHA]]</f>
        <v>43236</v>
      </c>
      <c r="E34" s="13">
        <f>lectura_datos__3[[#This Row],[HORA]]</f>
        <v>0.4737615740740741</v>
      </c>
      <c r="F34" s="15" t="str">
        <f>IFERROR(VLOOKUP(Lectura!A34,Tabla13[],I34,FALSE),"No")</f>
        <v>No</v>
      </c>
      <c r="G34" s="18" t="str">
        <f t="shared" si="3"/>
        <v>ROBO</v>
      </c>
      <c r="H34" s="16">
        <f t="shared" si="4"/>
        <v>174</v>
      </c>
      <c r="I34" s="20">
        <f t="shared" si="2"/>
        <v>5</v>
      </c>
    </row>
    <row r="35" spans="1:9" x14ac:dyDescent="0.25">
      <c r="A35" s="7" t="str">
        <f>lectura_datos__3[[#This Row],[ID]]</f>
        <v>ROBO</v>
      </c>
      <c r="B35" s="7" t="str">
        <f>lectura_datos__3[[#This Row],[ZONA]]</f>
        <v xml:space="preserve"> ZONA 2</v>
      </c>
      <c r="C35" s="14">
        <f>lectura_datos__3[[#This Row],[PESO]]</f>
        <v>411</v>
      </c>
      <c r="D35" s="12">
        <f>lectura_datos__3[[#This Row],[FECHA]]</f>
        <v>43236</v>
      </c>
      <c r="E35" s="13">
        <f>lectura_datos__3[[#This Row],[HORA]]</f>
        <v>0.4737615740740741</v>
      </c>
      <c r="F35" s="15" t="str">
        <f>IFERROR(VLOOKUP(Lectura!A35,Tabla13[],I35,FALSE),"No")</f>
        <v>No</v>
      </c>
      <c r="G35" s="18" t="str">
        <f t="shared" si="3"/>
        <v>ROBO</v>
      </c>
      <c r="H35" s="16">
        <f t="shared" si="4"/>
        <v>411</v>
      </c>
      <c r="I35" s="20">
        <f t="shared" si="2"/>
        <v>5</v>
      </c>
    </row>
    <row r="36" spans="1:9" x14ac:dyDescent="0.25">
      <c r="A36" s="7" t="str">
        <f>lectura_datos__3[[#This Row],[ID]]</f>
        <v>ROBO</v>
      </c>
      <c r="B36" s="7" t="str">
        <f>lectura_datos__3[[#This Row],[ZONA]]</f>
        <v xml:space="preserve"> ZONA 2</v>
      </c>
      <c r="C36" s="14">
        <f>lectura_datos__3[[#This Row],[PESO]]</f>
        <v>169</v>
      </c>
      <c r="D36" s="12">
        <f>lectura_datos__3[[#This Row],[FECHA]]</f>
        <v>43236</v>
      </c>
      <c r="E36" s="13">
        <f>lectura_datos__3[[#This Row],[HORA]]</f>
        <v>0.4737615740740741</v>
      </c>
      <c r="F36" s="15" t="str">
        <f>IFERROR(VLOOKUP(Lectura!A36,Tabla13[],I36,FALSE),"No")</f>
        <v>No</v>
      </c>
      <c r="G36" s="18" t="str">
        <f t="shared" si="3"/>
        <v>ROBO</v>
      </c>
      <c r="H36" s="16">
        <f t="shared" si="4"/>
        <v>169</v>
      </c>
      <c r="I36" s="20">
        <f t="shared" si="2"/>
        <v>5</v>
      </c>
    </row>
    <row r="37" spans="1:9" x14ac:dyDescent="0.25">
      <c r="A37" s="7" t="str">
        <f>lectura_datos__3[[#This Row],[ID]]</f>
        <v>ROBO</v>
      </c>
      <c r="B37" s="7" t="str">
        <f>lectura_datos__3[[#This Row],[ZONA]]</f>
        <v xml:space="preserve"> ZONA 2</v>
      </c>
      <c r="C37" s="14">
        <f>lectura_datos__3[[#This Row],[PESO]]</f>
        <v>71</v>
      </c>
      <c r="D37" s="12">
        <f>lectura_datos__3[[#This Row],[FECHA]]</f>
        <v>43236</v>
      </c>
      <c r="E37" s="13">
        <f>lectura_datos__3[[#This Row],[HORA]]</f>
        <v>0.4737615740740741</v>
      </c>
      <c r="F37" s="15" t="str">
        <f>IFERROR(VLOOKUP(Lectura!A37,Tabla13[],I37,FALSE),"No")</f>
        <v>No</v>
      </c>
      <c r="G37" s="18" t="str">
        <f t="shared" si="3"/>
        <v>ROBO</v>
      </c>
      <c r="H37" s="16">
        <f t="shared" si="4"/>
        <v>71</v>
      </c>
      <c r="I37" s="20">
        <f t="shared" si="2"/>
        <v>5</v>
      </c>
    </row>
    <row r="38" spans="1:9" x14ac:dyDescent="0.25">
      <c r="A38" s="7" t="str">
        <f>lectura_datos__3[[#This Row],[ID]]</f>
        <v>ROBO</v>
      </c>
      <c r="B38" s="7" t="str">
        <f>lectura_datos__3[[#This Row],[ZONA]]</f>
        <v xml:space="preserve"> ZONA 2</v>
      </c>
      <c r="C38" s="14">
        <f>lectura_datos__3[[#This Row],[PESO]]</f>
        <v>96</v>
      </c>
      <c r="D38" s="12">
        <f>lectura_datos__3[[#This Row],[FECHA]]</f>
        <v>43236</v>
      </c>
      <c r="E38" s="13">
        <f>lectura_datos__3[[#This Row],[HORA]]</f>
        <v>0.4737615740740741</v>
      </c>
      <c r="F38" s="15" t="str">
        <f>IFERROR(VLOOKUP(Lectura!A38,Tabla13[],I38,FALSE),"No")</f>
        <v>No</v>
      </c>
      <c r="G38" s="18" t="str">
        <f t="shared" si="3"/>
        <v>ROBO</v>
      </c>
      <c r="H38" s="16">
        <f t="shared" si="4"/>
        <v>96</v>
      </c>
      <c r="I38" s="20">
        <f t="shared" si="2"/>
        <v>5</v>
      </c>
    </row>
    <row r="39" spans="1:9" x14ac:dyDescent="0.25">
      <c r="A39" s="7" t="str">
        <f>lectura_datos__3[[#This Row],[ID]]</f>
        <v>ROBO</v>
      </c>
      <c r="B39" s="7" t="str">
        <f>lectura_datos__3[[#This Row],[ZONA]]</f>
        <v xml:space="preserve"> ZONA 2</v>
      </c>
      <c r="C39" s="14">
        <f>lectura_datos__3[[#This Row],[PESO]]</f>
        <v>35</v>
      </c>
      <c r="D39" s="12">
        <f>lectura_datos__3[[#This Row],[FECHA]]</f>
        <v>43236</v>
      </c>
      <c r="E39" s="13">
        <f>lectura_datos__3[[#This Row],[HORA]]</f>
        <v>0.4737615740740741</v>
      </c>
      <c r="F39" s="15" t="str">
        <f>IFERROR(VLOOKUP(Lectura!A39,Tabla13[],I39,FALSE),"No")</f>
        <v>No</v>
      </c>
      <c r="G39" s="18" t="str">
        <f t="shared" si="3"/>
        <v>ROBO</v>
      </c>
      <c r="H39" s="16">
        <f t="shared" si="4"/>
        <v>35</v>
      </c>
      <c r="I39" s="20">
        <f t="shared" si="2"/>
        <v>5</v>
      </c>
    </row>
    <row r="40" spans="1:9" x14ac:dyDescent="0.25">
      <c r="A40" s="7" t="str">
        <f>lectura_datos__3[[#This Row],[ID]]</f>
        <v>ROBO</v>
      </c>
      <c r="B40" s="7" t="str">
        <f>lectura_datos__3[[#This Row],[ZONA]]</f>
        <v xml:space="preserve"> ZONA 2</v>
      </c>
      <c r="C40" s="14">
        <f>lectura_datos__3[[#This Row],[PESO]]</f>
        <v>25</v>
      </c>
      <c r="D40" s="12">
        <f>lectura_datos__3[[#This Row],[FECHA]]</f>
        <v>43236</v>
      </c>
      <c r="E40" s="13">
        <f>lectura_datos__3[[#This Row],[HORA]]</f>
        <v>0.47377314814814814</v>
      </c>
      <c r="F40" s="15" t="str">
        <f>IFERROR(VLOOKUP(Lectura!A40,Tabla13[],I40,FALSE),"No")</f>
        <v>No</v>
      </c>
      <c r="G40" s="18" t="str">
        <f t="shared" si="3"/>
        <v>ROBO</v>
      </c>
      <c r="H40" s="16">
        <f t="shared" si="4"/>
        <v>25</v>
      </c>
      <c r="I40" s="20">
        <f t="shared" si="2"/>
        <v>5</v>
      </c>
    </row>
    <row r="41" spans="1:9" x14ac:dyDescent="0.25">
      <c r="A41" s="7" t="str">
        <f>lectura_datos__3[[#This Row],[ID]]</f>
        <v>ROBO</v>
      </c>
      <c r="B41" s="7" t="str">
        <f>lectura_datos__3[[#This Row],[ZONA]]</f>
        <v xml:space="preserve"> ZONA 2</v>
      </c>
      <c r="C41" s="14">
        <f>lectura_datos__3[[#This Row],[PESO]]</f>
        <v>-65</v>
      </c>
      <c r="D41" s="12">
        <f>lectura_datos__3[[#This Row],[FECHA]]</f>
        <v>43236</v>
      </c>
      <c r="E41" s="13">
        <f>lectura_datos__3[[#This Row],[HORA]]</f>
        <v>0.47377314814814814</v>
      </c>
      <c r="F41" s="15" t="str">
        <f>IFERROR(VLOOKUP(Lectura!A41,Tabla13[],I41,FALSE),"No")</f>
        <v>No</v>
      </c>
      <c r="G41" s="18" t="str">
        <f t="shared" si="3"/>
        <v>ROBO</v>
      </c>
      <c r="H41" s="16">
        <f t="shared" si="4"/>
        <v>-65</v>
      </c>
      <c r="I41" s="20">
        <f t="shared" si="2"/>
        <v>5</v>
      </c>
    </row>
    <row r="42" spans="1:9" x14ac:dyDescent="0.25">
      <c r="A42" s="7" t="str">
        <f>lectura_datos__3[[#This Row],[ID]]</f>
        <v>ROBO</v>
      </c>
      <c r="B42" s="7" t="str">
        <f>lectura_datos__3[[#This Row],[ZONA]]</f>
        <v xml:space="preserve"> ZONA 2</v>
      </c>
      <c r="C42" s="14">
        <f>lectura_datos__3[[#This Row],[PESO]]</f>
        <v>-374</v>
      </c>
      <c r="D42" s="12">
        <f>lectura_datos__3[[#This Row],[FECHA]]</f>
        <v>43236</v>
      </c>
      <c r="E42" s="13">
        <f>lectura_datos__3[[#This Row],[HORA]]</f>
        <v>0.47377314814814814</v>
      </c>
      <c r="F42" s="15" t="str">
        <f>IFERROR(VLOOKUP(Lectura!A42,Tabla13[],I42,FALSE),"No")</f>
        <v>No</v>
      </c>
      <c r="G42" s="18" t="str">
        <f t="shared" si="3"/>
        <v>ROBO</v>
      </c>
      <c r="H42" s="16">
        <f t="shared" si="4"/>
        <v>-374</v>
      </c>
      <c r="I42" s="20">
        <f t="shared" si="2"/>
        <v>5</v>
      </c>
    </row>
    <row r="43" spans="1:9" x14ac:dyDescent="0.25">
      <c r="A43" s="7" t="str">
        <f>lectura_datos__3[[#This Row],[ID]]</f>
        <v>ROBO</v>
      </c>
      <c r="B43" s="7" t="str">
        <f>lectura_datos__3[[#This Row],[ZONA]]</f>
        <v xml:space="preserve"> ZONA 2</v>
      </c>
      <c r="C43" s="14">
        <f>lectura_datos__3[[#This Row],[PESO]]</f>
        <v>-227</v>
      </c>
      <c r="D43" s="12">
        <f>lectura_datos__3[[#This Row],[FECHA]]</f>
        <v>43236</v>
      </c>
      <c r="E43" s="13">
        <f>lectura_datos__3[[#This Row],[HORA]]</f>
        <v>0.47377314814814814</v>
      </c>
      <c r="F43" s="15" t="str">
        <f>IFERROR(VLOOKUP(Lectura!A43,Tabla13[],I43,FALSE),"No")</f>
        <v>No</v>
      </c>
      <c r="G43" s="18" t="str">
        <f t="shared" si="3"/>
        <v>ROBO</v>
      </c>
      <c r="H43" s="16">
        <f t="shared" si="4"/>
        <v>-227</v>
      </c>
      <c r="I43" s="20">
        <f t="shared" si="2"/>
        <v>5</v>
      </c>
    </row>
    <row r="44" spans="1:9" x14ac:dyDescent="0.25">
      <c r="A44" s="7" t="str">
        <f>lectura_datos__3[[#This Row],[ID]]</f>
        <v>ROBO</v>
      </c>
      <c r="B44" s="7" t="str">
        <f>lectura_datos__3[[#This Row],[ZONA]]</f>
        <v xml:space="preserve"> ZONA 2</v>
      </c>
      <c r="C44" s="14">
        <f>lectura_datos__3[[#This Row],[PESO]]</f>
        <v>-315</v>
      </c>
      <c r="D44" s="12">
        <f>lectura_datos__3[[#This Row],[FECHA]]</f>
        <v>43236</v>
      </c>
      <c r="E44" s="13">
        <f>lectura_datos__3[[#This Row],[HORA]]</f>
        <v>0.47377314814814814</v>
      </c>
      <c r="F44" s="15" t="str">
        <f>IFERROR(VLOOKUP(Lectura!A44,Tabla13[],I44,FALSE),"No")</f>
        <v>No</v>
      </c>
      <c r="G44" s="18" t="str">
        <f t="shared" si="3"/>
        <v>ROBO</v>
      </c>
      <c r="H44" s="16">
        <f t="shared" si="4"/>
        <v>-315</v>
      </c>
      <c r="I44" s="20">
        <f t="shared" si="2"/>
        <v>5</v>
      </c>
    </row>
    <row r="45" spans="1:9" x14ac:dyDescent="0.25">
      <c r="A45" s="7" t="str">
        <f>lectura_datos__3[[#This Row],[ID]]</f>
        <v>F5 A3 50 D6</v>
      </c>
      <c r="B45" s="7" t="str">
        <f>lectura_datos__3[[#This Row],[ZONA]]</f>
        <v xml:space="preserve"> ZONA 2</v>
      </c>
      <c r="C45" s="14">
        <f>lectura_datos__3[[#This Row],[PESO]]</f>
        <v>554</v>
      </c>
      <c r="D45" s="12">
        <f>lectura_datos__3[[#This Row],[FECHA]]</f>
        <v>43236</v>
      </c>
      <c r="E45" s="13">
        <f>lectura_datos__3[[#This Row],[HORA]]</f>
        <v>0.47380787037037037</v>
      </c>
      <c r="F45" s="15" t="str">
        <f>IFERROR(VLOOKUP(Lectura!A45,Tabla13[],I45,FALSE),"No")</f>
        <v>No</v>
      </c>
      <c r="G45" s="18" t="str">
        <f t="shared" si="3"/>
        <v>F5 A3 50 D6</v>
      </c>
      <c r="H45" s="16">
        <f t="shared" si="4"/>
        <v>554</v>
      </c>
      <c r="I45" s="20">
        <f t="shared" si="2"/>
        <v>5</v>
      </c>
    </row>
    <row r="46" spans="1:9" x14ac:dyDescent="0.25">
      <c r="A46" s="7" t="str">
        <f>lectura_datos__3[[#This Row],[ID]]</f>
        <v>ROBO</v>
      </c>
      <c r="B46" s="7" t="str">
        <f>lectura_datos__3[[#This Row],[ZONA]]</f>
        <v xml:space="preserve"> ZONA 1</v>
      </c>
      <c r="C46" s="14">
        <f>lectura_datos__3[[#This Row],[PESO]]</f>
        <v>922</v>
      </c>
      <c r="D46" s="12">
        <f>lectura_datos__3[[#This Row],[FECHA]]</f>
        <v>43236</v>
      </c>
      <c r="E46" s="13">
        <f>lectura_datos__3[[#This Row],[HORA]]</f>
        <v>0.49482638888888891</v>
      </c>
      <c r="F46" s="15" t="str">
        <f>IFERROR(VLOOKUP(Lectura!A46,Tabla13[],I46,FALSE),"No")</f>
        <v>No</v>
      </c>
      <c r="G46" s="18" t="str">
        <f t="shared" si="3"/>
        <v>ROBO</v>
      </c>
      <c r="H46" s="16">
        <f t="shared" si="4"/>
        <v>922</v>
      </c>
      <c r="I46" s="20">
        <f t="shared" si="2"/>
        <v>4</v>
      </c>
    </row>
    <row r="47" spans="1:9" x14ac:dyDescent="0.25">
      <c r="A47" s="7" t="str">
        <f>lectura_datos__3[[#This Row],[ID]]</f>
        <v>ROBO</v>
      </c>
      <c r="B47" s="7" t="str">
        <f>lectura_datos__3[[#This Row],[ZONA]]</f>
        <v xml:space="preserve"> ZONA 1</v>
      </c>
      <c r="C47" s="14">
        <f>lectura_datos__3[[#This Row],[PESO]]</f>
        <v>87</v>
      </c>
      <c r="D47" s="12">
        <f>lectura_datos__3[[#This Row],[FECHA]]</f>
        <v>43236</v>
      </c>
      <c r="E47" s="13">
        <f>lectura_datos__3[[#This Row],[HORA]]</f>
        <v>0.49482638888888891</v>
      </c>
      <c r="F47" s="15" t="str">
        <f>IFERROR(VLOOKUP(Lectura!A47,Tabla13[],I47,FALSE),"No")</f>
        <v>No</v>
      </c>
      <c r="G47" s="18" t="str">
        <f t="shared" si="3"/>
        <v>ROBO</v>
      </c>
      <c r="H47" s="16">
        <f t="shared" si="4"/>
        <v>87</v>
      </c>
      <c r="I47" s="20">
        <f t="shared" si="2"/>
        <v>4</v>
      </c>
    </row>
    <row r="48" spans="1:9" x14ac:dyDescent="0.25">
      <c r="A48" s="7" t="str">
        <f>lectura_datos__3[[#This Row],[ID]]</f>
        <v>ROBO</v>
      </c>
      <c r="B48" s="7" t="str">
        <f>lectura_datos__3[[#This Row],[ZONA]]</f>
        <v xml:space="preserve"> ZONA 1</v>
      </c>
      <c r="C48" s="14">
        <f>lectura_datos__3[[#This Row],[PESO]]</f>
        <v>-1009</v>
      </c>
      <c r="D48" s="12">
        <f>lectura_datos__3[[#This Row],[FECHA]]</f>
        <v>43236</v>
      </c>
      <c r="E48" s="13">
        <f>lectura_datos__3[[#This Row],[HORA]]</f>
        <v>0.49483796296296295</v>
      </c>
      <c r="F48" s="15" t="str">
        <f>IFERROR(VLOOKUP(Lectura!A48,Tabla13[],I48,FALSE),"No")</f>
        <v>No</v>
      </c>
      <c r="G48" s="18" t="str">
        <f t="shared" si="3"/>
        <v>ROBO</v>
      </c>
      <c r="H48" s="16">
        <f t="shared" si="4"/>
        <v>-1009</v>
      </c>
      <c r="I48" s="20">
        <f t="shared" si="2"/>
        <v>4</v>
      </c>
    </row>
    <row r="49" spans="1:9" x14ac:dyDescent="0.25">
      <c r="A49" s="7" t="str">
        <f>lectura_datos__3[[#This Row],[ID]]</f>
        <v>F5 A3 50 D6</v>
      </c>
      <c r="B49" s="7" t="str">
        <f>lectura_datos__3[[#This Row],[ZONA]]</f>
        <v xml:space="preserve"> ZONA 1</v>
      </c>
      <c r="C49" s="14">
        <f>lectura_datos__3[[#This Row],[PESO]]</f>
        <v>823</v>
      </c>
      <c r="D49" s="12">
        <f>lectura_datos__3[[#This Row],[FECHA]]</f>
        <v>43236</v>
      </c>
      <c r="E49" s="13">
        <f>lectura_datos__3[[#This Row],[HORA]]</f>
        <v>0.49486111111111108</v>
      </c>
      <c r="F49" s="15" t="str">
        <f>IFERROR(VLOOKUP(Lectura!A49,Tabla13[],I49,FALSE),"No")</f>
        <v>Sí</v>
      </c>
      <c r="G49" s="18" t="str">
        <f t="shared" si="3"/>
        <v/>
      </c>
      <c r="H49" s="16" t="str">
        <f t="shared" si="4"/>
        <v/>
      </c>
      <c r="I49" s="20">
        <f t="shared" si="2"/>
        <v>4</v>
      </c>
    </row>
    <row r="50" spans="1:9" x14ac:dyDescent="0.25">
      <c r="A50" s="7" t="str">
        <f>lectura_datos__3[[#This Row],[ID]]</f>
        <v>A4 A5 28 EB</v>
      </c>
      <c r="B50" s="7" t="str">
        <f>lectura_datos__3[[#This Row],[ZONA]]</f>
        <v xml:space="preserve"> ZONA 2</v>
      </c>
      <c r="C50" s="14">
        <f>lectura_datos__3[[#This Row],[PESO]]</f>
        <v>227</v>
      </c>
      <c r="D50" s="12">
        <f>lectura_datos__3[[#This Row],[FECHA]]</f>
        <v>43236</v>
      </c>
      <c r="E50" s="13">
        <f>lectura_datos__3[[#This Row],[HORA]]</f>
        <v>0.49493055555555554</v>
      </c>
      <c r="F50" s="15" t="str">
        <f>IFERROR(VLOOKUP(Lectura!A50,Tabla13[],I50,FALSE),"No")</f>
        <v>Sí</v>
      </c>
      <c r="G50" s="18" t="str">
        <f t="shared" si="3"/>
        <v/>
      </c>
      <c r="H50" s="16" t="str">
        <f t="shared" si="4"/>
        <v/>
      </c>
      <c r="I50" s="20">
        <f t="shared" si="2"/>
        <v>5</v>
      </c>
    </row>
    <row r="51" spans="1:9" x14ac:dyDescent="0.25">
      <c r="A51" s="7" t="str">
        <f>lectura_datos__3[[#This Row],[ID]]</f>
        <v>A4 A5 28 EB</v>
      </c>
      <c r="B51" s="7" t="str">
        <f>lectura_datos__3[[#This Row],[ZONA]]</f>
        <v xml:space="preserve"> ZONA 1</v>
      </c>
      <c r="C51" s="14">
        <f>lectura_datos__3[[#This Row],[PESO]]</f>
        <v>22</v>
      </c>
      <c r="D51" s="12">
        <f>lectura_datos__3[[#This Row],[FECHA]]</f>
        <v>43236</v>
      </c>
      <c r="E51" s="13">
        <f>lectura_datos__3[[#This Row],[HORA]]</f>
        <v>0.49501157407407409</v>
      </c>
      <c r="F51" s="15" t="str">
        <f>IFERROR(VLOOKUP(Lectura!A51,Tabla13[],I51,FALSE),"No")</f>
        <v>No</v>
      </c>
      <c r="G51" s="18" t="str">
        <f t="shared" ref="G51:G100" si="5">IF(F51="No",A51,"")</f>
        <v>A4 A5 28 EB</v>
      </c>
      <c r="H51" s="16">
        <f t="shared" ref="H51:H100" si="6">IF(F51="No",C51,"")</f>
        <v>22</v>
      </c>
      <c r="I51" s="20">
        <f t="shared" ref="I51:I100" si="7">IF(EXACT(B51, I$1), 4, 5)</f>
        <v>4</v>
      </c>
    </row>
    <row r="52" spans="1:9" x14ac:dyDescent="0.25">
      <c r="A52" s="7" t="str">
        <f>lectura_datos__3[[#This Row],[ID]]</f>
        <v>A4 A5 28 EB ROBO</v>
      </c>
      <c r="B52" s="7" t="str">
        <f>lectura_datos__3[[#This Row],[ZONA]]</f>
        <v xml:space="preserve"> ZONA 1</v>
      </c>
      <c r="C52" s="14">
        <f>lectura_datos__3[[#This Row],[PESO]]</f>
        <v>935</v>
      </c>
      <c r="D52" s="12">
        <f>lectura_datos__3[[#This Row],[FECHA]]</f>
        <v>43236</v>
      </c>
      <c r="E52" s="13">
        <f>lectura_datos__3[[#This Row],[HORA]]</f>
        <v>0.49684027777777778</v>
      </c>
      <c r="F52" s="15" t="str">
        <f>IFERROR(VLOOKUP(Lectura!A52,Tabla13[],I52,FALSE),"No")</f>
        <v>No</v>
      </c>
      <c r="G52" s="18" t="str">
        <f t="shared" si="5"/>
        <v>A4 A5 28 EB ROBO</v>
      </c>
      <c r="H52" s="16">
        <f t="shared" si="6"/>
        <v>935</v>
      </c>
      <c r="I52" s="20">
        <f t="shared" si="7"/>
        <v>4</v>
      </c>
    </row>
    <row r="53" spans="1:9" x14ac:dyDescent="0.25">
      <c r="A53" s="7" t="str">
        <f>lectura_datos__3[[#This Row],[ID]]</f>
        <v>ROBO</v>
      </c>
      <c r="B53" s="7" t="str">
        <f>lectura_datos__3[[#This Row],[ZONA]]</f>
        <v xml:space="preserve"> ZONA 1</v>
      </c>
      <c r="C53" s="14">
        <f>lectura_datos__3[[#This Row],[PESO]]</f>
        <v>949</v>
      </c>
      <c r="D53" s="12">
        <f>lectura_datos__3[[#This Row],[FECHA]]</f>
        <v>43236</v>
      </c>
      <c r="E53" s="13">
        <f>lectura_datos__3[[#This Row],[HORA]]</f>
        <v>0.49692129629629628</v>
      </c>
      <c r="F53" s="15" t="str">
        <f>IFERROR(VLOOKUP(Lectura!A53,Tabla13[],I53,FALSE),"No")</f>
        <v>No</v>
      </c>
      <c r="G53" s="18" t="str">
        <f t="shared" si="5"/>
        <v>ROBO</v>
      </c>
      <c r="H53" s="16">
        <f t="shared" si="6"/>
        <v>949</v>
      </c>
      <c r="I53" s="20">
        <f t="shared" si="7"/>
        <v>4</v>
      </c>
    </row>
    <row r="54" spans="1:9" x14ac:dyDescent="0.25">
      <c r="A54" s="7" t="str">
        <f>lectura_datos__3[[#This Row],[ID]]</f>
        <v>ROBO</v>
      </c>
      <c r="B54" s="7" t="str">
        <f>lectura_datos__3[[#This Row],[ZONA]]</f>
        <v xml:space="preserve"> ZONA 2</v>
      </c>
      <c r="C54" s="14">
        <f>lectura_datos__3[[#This Row],[PESO]]</f>
        <v>-302</v>
      </c>
      <c r="D54" s="12">
        <f>lectura_datos__3[[#This Row],[FECHA]]</f>
        <v>43236</v>
      </c>
      <c r="E54" s="13">
        <f>lectura_datos__3[[#This Row],[HORA]]</f>
        <v>0.49694444444444447</v>
      </c>
      <c r="F54" s="15" t="str">
        <f>IFERROR(VLOOKUP(Lectura!A54,Tabla13[],I54,FALSE),"No")</f>
        <v>No</v>
      </c>
      <c r="G54" s="18" t="str">
        <f t="shared" si="5"/>
        <v>ROBO</v>
      </c>
      <c r="H54" s="16">
        <f t="shared" si="6"/>
        <v>-302</v>
      </c>
      <c r="I54" s="20">
        <f t="shared" si="7"/>
        <v>5</v>
      </c>
    </row>
    <row r="55" spans="1:9" x14ac:dyDescent="0.25">
      <c r="A55" s="7" t="str">
        <f>lectura_datos__3[[#This Row],[ID]]</f>
        <v>A4 A5 28 EB</v>
      </c>
      <c r="B55" s="7" t="str">
        <f>lectura_datos__3[[#This Row],[ZONA]]</f>
        <v xml:space="preserve"> ZONA 2</v>
      </c>
      <c r="C55" s="14">
        <f>lectura_datos__3[[#This Row],[PESO]]</f>
        <v>201</v>
      </c>
      <c r="D55" s="12">
        <f>lectura_datos__3[[#This Row],[FECHA]]</f>
        <v>43236</v>
      </c>
      <c r="E55" s="13">
        <f>lectura_datos__3[[#This Row],[HORA]]</f>
        <v>0.49697916666666669</v>
      </c>
      <c r="F55" s="15" t="str">
        <f>IFERROR(VLOOKUP(Lectura!A55,Tabla13[],I55,FALSE),"No")</f>
        <v>Sí</v>
      </c>
      <c r="G55" s="18" t="str">
        <f t="shared" si="5"/>
        <v/>
      </c>
      <c r="H55" s="16" t="str">
        <f t="shared" si="6"/>
        <v/>
      </c>
      <c r="I55" s="20">
        <f t="shared" si="7"/>
        <v>5</v>
      </c>
    </row>
    <row r="56" spans="1:9" x14ac:dyDescent="0.25">
      <c r="A56" s="7" t="str">
        <f>lectura_datos__3[[#This Row],[ID]]</f>
        <v>F5 A3 50 D6</v>
      </c>
      <c r="B56" s="7" t="str">
        <f>lectura_datos__3[[#This Row],[ZONA]]</f>
        <v xml:space="preserve"> ZONA 1</v>
      </c>
      <c r="C56" s="14">
        <f>lectura_datos__3[[#This Row],[PESO]]</f>
        <v>795</v>
      </c>
      <c r="D56" s="12">
        <f>lectura_datos__3[[#This Row],[FECHA]]</f>
        <v>43236</v>
      </c>
      <c r="E56" s="13">
        <f>lectura_datos__3[[#This Row],[HORA]]</f>
        <v>0.49703703703703705</v>
      </c>
      <c r="F56" s="15" t="str">
        <f>IFERROR(VLOOKUP(Lectura!A56,Tabla13[],I56,FALSE),"No")</f>
        <v>Sí</v>
      </c>
      <c r="G56" s="18" t="str">
        <f t="shared" si="5"/>
        <v/>
      </c>
      <c r="H56" s="16" t="str">
        <f t="shared" si="6"/>
        <v/>
      </c>
      <c r="I56" s="20">
        <f t="shared" si="7"/>
        <v>4</v>
      </c>
    </row>
    <row r="57" spans="1:9" x14ac:dyDescent="0.25">
      <c r="A57" s="7" t="str">
        <f>lectura_datos__3[[#This Row],[ID]]</f>
        <v>F5 A3 50 D6</v>
      </c>
      <c r="B57" s="7" t="str">
        <f>lectura_datos__3[[#This Row],[ZONA]]</f>
        <v xml:space="preserve"> ZONA 2</v>
      </c>
      <c r="C57" s="14">
        <f>lectura_datos__3[[#This Row],[PESO]]</f>
        <v>628</v>
      </c>
      <c r="D57" s="12">
        <f>lectura_datos__3[[#This Row],[FECHA]]</f>
        <v>43236</v>
      </c>
      <c r="E57" s="13">
        <f>lectura_datos__3[[#This Row],[HORA]]</f>
        <v>0.49711805555555555</v>
      </c>
      <c r="F57" s="15" t="str">
        <f>IFERROR(VLOOKUP(Lectura!A57,Tabla13[],I57,FALSE),"No")</f>
        <v>No</v>
      </c>
      <c r="G57" s="18" t="str">
        <f t="shared" si="5"/>
        <v>F5 A3 50 D6</v>
      </c>
      <c r="H57" s="16">
        <f t="shared" si="6"/>
        <v>628</v>
      </c>
      <c r="I57" s="20">
        <f t="shared" si="7"/>
        <v>5</v>
      </c>
    </row>
    <row r="58" spans="1:9" x14ac:dyDescent="0.25">
      <c r="A58" s="7" t="str">
        <f>lectura_datos__3[[#This Row],[ID]]</f>
        <v>ROBO</v>
      </c>
      <c r="B58" s="7" t="str">
        <f>lectura_datos__3[[#This Row],[ZONA]]</f>
        <v xml:space="preserve"> ZONA 2</v>
      </c>
      <c r="C58" s="14">
        <f>lectura_datos__3[[#This Row],[PESO]]</f>
        <v>16</v>
      </c>
      <c r="D58" s="12">
        <f>lectura_datos__3[[#This Row],[FECHA]]</f>
        <v>43236</v>
      </c>
      <c r="E58" s="13">
        <f>lectura_datos__3[[#This Row],[HORA]]</f>
        <v>0.49715277777777778</v>
      </c>
      <c r="F58" s="15" t="str">
        <f>IFERROR(VLOOKUP(Lectura!A58,Tabla13[],I58,FALSE),"No")</f>
        <v>No</v>
      </c>
      <c r="G58" s="18" t="str">
        <f t="shared" si="5"/>
        <v>ROBO</v>
      </c>
      <c r="H58" s="16">
        <f t="shared" si="6"/>
        <v>16</v>
      </c>
      <c r="I58" s="20">
        <f t="shared" si="7"/>
        <v>5</v>
      </c>
    </row>
    <row r="59" spans="1:9" x14ac:dyDescent="0.25">
      <c r="A59" s="7" t="str">
        <f>lectura_datos__3[[#This Row],[ID]]</f>
        <v>ROBO</v>
      </c>
      <c r="B59" s="7" t="str">
        <f>lectura_datos__3[[#This Row],[ZONA]]</f>
        <v xml:space="preserve"> ZONA 1</v>
      </c>
      <c r="C59" s="14">
        <f>lectura_datos__3[[#This Row],[PESO]]</f>
        <v>997</v>
      </c>
      <c r="D59" s="12">
        <f>lectura_datos__3[[#This Row],[FECHA]]</f>
        <v>43236</v>
      </c>
      <c r="E59" s="13">
        <f>lectura_datos__3[[#This Row],[HORA]]</f>
        <v>0.49853009259259257</v>
      </c>
      <c r="F59" s="15" t="str">
        <f>IFERROR(VLOOKUP(Lectura!A59,Tabla13[],I59,FALSE),"No")</f>
        <v>No</v>
      </c>
      <c r="G59" s="18" t="str">
        <f t="shared" si="5"/>
        <v>ROBO</v>
      </c>
      <c r="H59" s="16">
        <f t="shared" si="6"/>
        <v>997</v>
      </c>
      <c r="I59" s="20">
        <f t="shared" si="7"/>
        <v>4</v>
      </c>
    </row>
    <row r="60" spans="1:9" x14ac:dyDescent="0.25">
      <c r="A60" s="7" t="str">
        <f>lectura_datos__3[[#This Row],[ID]]</f>
        <v>ROBO</v>
      </c>
      <c r="B60" s="7" t="str">
        <f>lectura_datos__3[[#This Row],[ZONA]]</f>
        <v xml:space="preserve"> ZONA 1</v>
      </c>
      <c r="C60" s="14">
        <f>lectura_datos__3[[#This Row],[PESO]]</f>
        <v>22</v>
      </c>
      <c r="D60" s="12">
        <f>lectura_datos__3[[#This Row],[FECHA]]</f>
        <v>43236</v>
      </c>
      <c r="E60" s="13">
        <f>lectura_datos__3[[#This Row],[HORA]]</f>
        <v>0.49853009259259257</v>
      </c>
      <c r="F60" s="15" t="str">
        <f>IFERROR(VLOOKUP(Lectura!A60,Tabla13[],I60,FALSE),"No")</f>
        <v>No</v>
      </c>
      <c r="G60" s="18" t="str">
        <f t="shared" si="5"/>
        <v>ROBO</v>
      </c>
      <c r="H60" s="16">
        <f t="shared" si="6"/>
        <v>22</v>
      </c>
      <c r="I60" s="20">
        <f t="shared" si="7"/>
        <v>4</v>
      </c>
    </row>
    <row r="61" spans="1:9" x14ac:dyDescent="0.25">
      <c r="A61" s="7" t="str">
        <f>lectura_datos__3[[#This Row],[ID]]</f>
        <v>ROBO</v>
      </c>
      <c r="B61" s="7" t="str">
        <f>lectura_datos__3[[#This Row],[ZONA]]</f>
        <v xml:space="preserve"> ZONA 1</v>
      </c>
      <c r="C61" s="14">
        <f>lectura_datos__3[[#This Row],[PESO]]</f>
        <v>-1019</v>
      </c>
      <c r="D61" s="12">
        <f>lectura_datos__3[[#This Row],[FECHA]]</f>
        <v>43236</v>
      </c>
      <c r="E61" s="13">
        <f>lectura_datos__3[[#This Row],[HORA]]</f>
        <v>0.49854166666666666</v>
      </c>
      <c r="F61" s="15" t="str">
        <f>IFERROR(VLOOKUP(Lectura!A61,Tabla13[],I61,FALSE),"No")</f>
        <v>No</v>
      </c>
      <c r="G61" s="18" t="str">
        <f t="shared" si="5"/>
        <v>ROBO</v>
      </c>
      <c r="H61" s="16">
        <f t="shared" si="6"/>
        <v>-1019</v>
      </c>
      <c r="I61" s="20">
        <f t="shared" si="7"/>
        <v>4</v>
      </c>
    </row>
    <row r="62" spans="1:9" x14ac:dyDescent="0.25">
      <c r="A62" s="7" t="str">
        <f>lectura_datos__3[[#This Row],[ID]]</f>
        <v>ROBO</v>
      </c>
      <c r="B62" s="7" t="str">
        <f>lectura_datos__3[[#This Row],[ZONA]]</f>
        <v xml:space="preserve"> ZONA 2</v>
      </c>
      <c r="C62" s="14">
        <f>lectura_datos__3[[#This Row],[PESO]]</f>
        <v>367</v>
      </c>
      <c r="D62" s="12">
        <f>lectura_datos__3[[#This Row],[FECHA]]</f>
        <v>43236</v>
      </c>
      <c r="E62" s="13">
        <f>lectura_datos__3[[#This Row],[HORA]]</f>
        <v>0.49930555555555556</v>
      </c>
      <c r="F62" s="15" t="str">
        <f>IFERROR(VLOOKUP(Lectura!A62,Tabla13[],I62,FALSE),"No")</f>
        <v>No</v>
      </c>
      <c r="G62" s="18" t="str">
        <f t="shared" si="5"/>
        <v>ROBO</v>
      </c>
      <c r="H62" s="16">
        <f t="shared" si="6"/>
        <v>367</v>
      </c>
      <c r="I62" s="20">
        <f t="shared" si="7"/>
        <v>5</v>
      </c>
    </row>
    <row r="63" spans="1:9" x14ac:dyDescent="0.25">
      <c r="A63" s="7" t="str">
        <f>lectura_datos__3[[#This Row],[ID]]</f>
        <v>ROBO</v>
      </c>
      <c r="B63" s="7" t="str">
        <f>lectura_datos__3[[#This Row],[ZONA]]</f>
        <v xml:space="preserve"> ZONA 2</v>
      </c>
      <c r="C63" s="14">
        <f>lectura_datos__3[[#This Row],[PESO]]</f>
        <v>497</v>
      </c>
      <c r="D63" s="12">
        <f>lectura_datos__3[[#This Row],[FECHA]]</f>
        <v>43236</v>
      </c>
      <c r="E63" s="13">
        <f>lectura_datos__3[[#This Row],[HORA]]</f>
        <v>0.49930555555555556</v>
      </c>
      <c r="F63" s="15" t="str">
        <f>IFERROR(VLOOKUP(Lectura!A63,Tabla13[],I63,FALSE),"No")</f>
        <v>No</v>
      </c>
      <c r="G63" s="18" t="str">
        <f t="shared" si="5"/>
        <v>ROBO</v>
      </c>
      <c r="H63" s="16">
        <f t="shared" si="6"/>
        <v>497</v>
      </c>
      <c r="I63" s="20">
        <f t="shared" si="7"/>
        <v>5</v>
      </c>
    </row>
    <row r="64" spans="1:9" x14ac:dyDescent="0.25">
      <c r="A64" s="7" t="str">
        <f>lectura_datos__3[[#This Row],[ID]]</f>
        <v>ROBO</v>
      </c>
      <c r="B64" s="7" t="str">
        <f>lectura_datos__3[[#This Row],[ZONA]]</f>
        <v xml:space="preserve"> ZONA 2</v>
      </c>
      <c r="C64" s="14">
        <f>lectura_datos__3[[#This Row],[PESO]]</f>
        <v>73</v>
      </c>
      <c r="D64" s="12">
        <f>lectura_datos__3[[#This Row],[FECHA]]</f>
        <v>43236</v>
      </c>
      <c r="E64" s="13">
        <f>lectura_datos__3[[#This Row],[HORA]]</f>
        <v>0.49930555555555556</v>
      </c>
      <c r="F64" s="15" t="str">
        <f>IFERROR(VLOOKUP(Lectura!A64,Tabla13[],I64,FALSE),"No")</f>
        <v>No</v>
      </c>
      <c r="G64" s="18" t="str">
        <f t="shared" si="5"/>
        <v>ROBO</v>
      </c>
      <c r="H64" s="16">
        <f t="shared" si="6"/>
        <v>73</v>
      </c>
      <c r="I64" s="20">
        <f t="shared" si="7"/>
        <v>5</v>
      </c>
    </row>
    <row r="65" spans="1:9" x14ac:dyDescent="0.25">
      <c r="A65" s="7" t="str">
        <f>lectura_datos__3[[#This Row],[ID]]</f>
        <v>ROBO</v>
      </c>
      <c r="B65" s="7" t="str">
        <f>lectura_datos__3[[#This Row],[ZONA]]</f>
        <v xml:space="preserve"> ZONA 2</v>
      </c>
      <c r="C65" s="14">
        <f>lectura_datos__3[[#This Row],[PESO]]</f>
        <v>26</v>
      </c>
      <c r="D65" s="12">
        <f>lectura_datos__3[[#This Row],[FECHA]]</f>
        <v>43236</v>
      </c>
      <c r="E65" s="13">
        <f>lectura_datos__3[[#This Row],[HORA]]</f>
        <v>0.49930555555555556</v>
      </c>
      <c r="F65" s="15" t="str">
        <f>IFERROR(VLOOKUP(Lectura!A65,Tabla13[],I65,FALSE),"No")</f>
        <v>No</v>
      </c>
      <c r="G65" s="18" t="str">
        <f t="shared" si="5"/>
        <v>ROBO</v>
      </c>
      <c r="H65" s="16">
        <f t="shared" si="6"/>
        <v>26</v>
      </c>
      <c r="I65" s="20">
        <f t="shared" si="7"/>
        <v>5</v>
      </c>
    </row>
    <row r="66" spans="1:9" x14ac:dyDescent="0.25">
      <c r="A66" s="7" t="str">
        <f>lectura_datos__3[[#This Row],[ID]]</f>
        <v>ROBO</v>
      </c>
      <c r="B66" s="7" t="str">
        <f>lectura_datos__3[[#This Row],[ZONA]]</f>
        <v xml:space="preserve"> ZONA 2</v>
      </c>
      <c r="C66" s="14">
        <f>lectura_datos__3[[#This Row],[PESO]]</f>
        <v>16</v>
      </c>
      <c r="D66" s="12">
        <f>lectura_datos__3[[#This Row],[FECHA]]</f>
        <v>43236</v>
      </c>
      <c r="E66" s="13">
        <f>lectura_datos__3[[#This Row],[HORA]]</f>
        <v>0.49930555555555556</v>
      </c>
      <c r="F66" s="15" t="str">
        <f>IFERROR(VLOOKUP(Lectura!A66,Tabla13[],I66,FALSE),"No")</f>
        <v>No</v>
      </c>
      <c r="G66" s="18" t="str">
        <f t="shared" si="5"/>
        <v>ROBO</v>
      </c>
      <c r="H66" s="16">
        <f t="shared" si="6"/>
        <v>16</v>
      </c>
      <c r="I66" s="20">
        <f t="shared" si="7"/>
        <v>5</v>
      </c>
    </row>
    <row r="67" spans="1:9" x14ac:dyDescent="0.25">
      <c r="A67" s="7" t="str">
        <f>lectura_datos__3[[#This Row],[ID]]</f>
        <v>ROBO</v>
      </c>
      <c r="B67" s="7" t="str">
        <f>lectura_datos__3[[#This Row],[ZONA]]</f>
        <v xml:space="preserve"> ZONA 2</v>
      </c>
      <c r="C67" s="14">
        <f>lectura_datos__3[[#This Row],[PESO]]</f>
        <v>10</v>
      </c>
      <c r="D67" s="12">
        <f>lectura_datos__3[[#This Row],[FECHA]]</f>
        <v>43236</v>
      </c>
      <c r="E67" s="13">
        <f>lectura_datos__3[[#This Row],[HORA]]</f>
        <v>0.49930555555555556</v>
      </c>
      <c r="F67" s="15" t="str">
        <f>IFERROR(VLOOKUP(Lectura!A67,Tabla13[],I67,FALSE),"No")</f>
        <v>No</v>
      </c>
      <c r="G67" s="18" t="str">
        <f t="shared" si="5"/>
        <v>ROBO</v>
      </c>
      <c r="H67" s="16">
        <f t="shared" si="6"/>
        <v>10</v>
      </c>
      <c r="I67" s="20">
        <f t="shared" si="7"/>
        <v>5</v>
      </c>
    </row>
    <row r="68" spans="1:9" x14ac:dyDescent="0.25">
      <c r="A68" s="7" t="str">
        <f>lectura_datos__3[[#This Row],[ID]]</f>
        <v>ROBO</v>
      </c>
      <c r="B68" s="7" t="str">
        <f>lectura_datos__3[[#This Row],[ZONA]]</f>
        <v xml:space="preserve"> ZONA 2</v>
      </c>
      <c r="C68" s="14">
        <f>lectura_datos__3[[#This Row],[PESO]]</f>
        <v>-4</v>
      </c>
      <c r="D68" s="12">
        <f>lectura_datos__3[[#This Row],[FECHA]]</f>
        <v>43236</v>
      </c>
      <c r="E68" s="13">
        <f>lectura_datos__3[[#This Row],[HORA]]</f>
        <v>0.49930555555555556</v>
      </c>
      <c r="F68" s="15" t="str">
        <f>IFERROR(VLOOKUP(Lectura!A68,Tabla13[],I68,FALSE),"No")</f>
        <v>No</v>
      </c>
      <c r="G68" s="18" t="str">
        <f t="shared" si="5"/>
        <v>ROBO</v>
      </c>
      <c r="H68" s="16">
        <f t="shared" si="6"/>
        <v>-4</v>
      </c>
      <c r="I68" s="20">
        <f t="shared" si="7"/>
        <v>5</v>
      </c>
    </row>
    <row r="69" spans="1:9" x14ac:dyDescent="0.25">
      <c r="A69" s="7" t="str">
        <f>lectura_datos__3[[#This Row],[ID]]</f>
        <v>ROBO</v>
      </c>
      <c r="B69" s="7" t="str">
        <f>lectura_datos__3[[#This Row],[ZONA]]</f>
        <v xml:space="preserve"> ZONA 2</v>
      </c>
      <c r="C69" s="14">
        <f>lectura_datos__3[[#This Row],[PESO]]</f>
        <v>-41</v>
      </c>
      <c r="D69" s="12">
        <f>lectura_datos__3[[#This Row],[FECHA]]</f>
        <v>43236</v>
      </c>
      <c r="E69" s="13">
        <f>lectura_datos__3[[#This Row],[HORA]]</f>
        <v>0.49930555555555556</v>
      </c>
      <c r="F69" s="15" t="str">
        <f>IFERROR(VLOOKUP(Lectura!A69,Tabla13[],I69,FALSE),"No")</f>
        <v>No</v>
      </c>
      <c r="G69" s="18" t="str">
        <f t="shared" si="5"/>
        <v>ROBO</v>
      </c>
      <c r="H69" s="16">
        <f t="shared" si="6"/>
        <v>-41</v>
      </c>
      <c r="I69" s="20">
        <f t="shared" si="7"/>
        <v>5</v>
      </c>
    </row>
    <row r="70" spans="1:9" x14ac:dyDescent="0.25">
      <c r="A70" s="7" t="str">
        <f>lectura_datos__3[[#This Row],[ID]]</f>
        <v>ROBO</v>
      </c>
      <c r="B70" s="7" t="str">
        <f>lectura_datos__3[[#This Row],[ZONA]]</f>
        <v xml:space="preserve"> ZONA 2</v>
      </c>
      <c r="C70" s="14">
        <f>lectura_datos__3[[#This Row],[PESO]]</f>
        <v>-84</v>
      </c>
      <c r="D70" s="12">
        <f>lectura_datos__3[[#This Row],[FECHA]]</f>
        <v>43236</v>
      </c>
      <c r="E70" s="13">
        <f>lectura_datos__3[[#This Row],[HORA]]</f>
        <v>0.49930555555555556</v>
      </c>
      <c r="F70" s="15" t="str">
        <f>IFERROR(VLOOKUP(Lectura!A70,Tabla13[],I70,FALSE),"No")</f>
        <v>No</v>
      </c>
      <c r="G70" s="18" t="str">
        <f t="shared" si="5"/>
        <v>ROBO</v>
      </c>
      <c r="H70" s="16">
        <f t="shared" si="6"/>
        <v>-84</v>
      </c>
      <c r="I70" s="20">
        <f t="shared" si="7"/>
        <v>5</v>
      </c>
    </row>
    <row r="71" spans="1:9" x14ac:dyDescent="0.25">
      <c r="A71" s="7" t="str">
        <f>lectura_datos__3[[#This Row],[ID]]</f>
        <v>ROBO</v>
      </c>
      <c r="B71" s="7" t="str">
        <f>lectura_datos__3[[#This Row],[ZONA]]</f>
        <v xml:space="preserve"> ZONA 2</v>
      </c>
      <c r="C71" s="14">
        <f>lectura_datos__3[[#This Row],[PESO]]</f>
        <v>-643</v>
      </c>
      <c r="D71" s="12">
        <f>lectura_datos__3[[#This Row],[FECHA]]</f>
        <v>43236</v>
      </c>
      <c r="E71" s="13">
        <f>lectura_datos__3[[#This Row],[HORA]]</f>
        <v>0.49930555555555556</v>
      </c>
      <c r="F71" s="15" t="str">
        <f>IFERROR(VLOOKUP(Lectura!A71,Tabla13[],I71,FALSE),"No")</f>
        <v>No</v>
      </c>
      <c r="G71" s="18" t="str">
        <f t="shared" si="5"/>
        <v>ROBO</v>
      </c>
      <c r="H71" s="16">
        <f t="shared" si="6"/>
        <v>-643</v>
      </c>
      <c r="I71" s="20">
        <f t="shared" si="7"/>
        <v>5</v>
      </c>
    </row>
    <row r="72" spans="1:9" x14ac:dyDescent="0.25">
      <c r="A72" s="7" t="str">
        <f>lectura_datos__3[[#This Row],[ID]]</f>
        <v>ROBO</v>
      </c>
      <c r="B72" s="7" t="str">
        <f>lectura_datos__3[[#This Row],[ZONA]]</f>
        <v xml:space="preserve"> ZONA 2</v>
      </c>
      <c r="C72" s="14">
        <f>lectura_datos__3[[#This Row],[PESO]]</f>
        <v>-217</v>
      </c>
      <c r="D72" s="12">
        <f>lectura_datos__3[[#This Row],[FECHA]]</f>
        <v>43236</v>
      </c>
      <c r="E72" s="13">
        <f>lectura_datos__3[[#This Row],[HORA]]</f>
        <v>0.49930555555555556</v>
      </c>
      <c r="F72" s="15" t="str">
        <f>IFERROR(VLOOKUP(Lectura!A72,Tabla13[],I72,FALSE),"No")</f>
        <v>No</v>
      </c>
      <c r="G72" s="18" t="str">
        <f t="shared" si="5"/>
        <v>ROBO</v>
      </c>
      <c r="H72" s="16">
        <f t="shared" si="6"/>
        <v>-217</v>
      </c>
      <c r="I72" s="20">
        <f t="shared" si="7"/>
        <v>5</v>
      </c>
    </row>
    <row r="73" spans="1:9" x14ac:dyDescent="0.25">
      <c r="A73" s="7" t="str">
        <f>lectura_datos__3[[#This Row],[ID]]</f>
        <v>ROBO</v>
      </c>
      <c r="B73" s="7" t="str">
        <f>lectura_datos__3[[#This Row],[ZONA]]</f>
        <v xml:space="preserve"> ZONA 1</v>
      </c>
      <c r="C73" s="14">
        <f>lectura_datos__3[[#This Row],[PESO]]</f>
        <v>969</v>
      </c>
      <c r="D73" s="12">
        <f>lectura_datos__3[[#This Row],[FECHA]]</f>
        <v>43236</v>
      </c>
      <c r="E73" s="13">
        <f>lectura_datos__3[[#This Row],[HORA]]</f>
        <v>0.49998842592592591</v>
      </c>
      <c r="F73" s="15" t="str">
        <f>IFERROR(VLOOKUP(Lectura!A73,Tabla13[],I73,FALSE),"No")</f>
        <v>No</v>
      </c>
      <c r="G73" s="18" t="str">
        <f t="shared" si="5"/>
        <v>ROBO</v>
      </c>
      <c r="H73" s="16">
        <f t="shared" si="6"/>
        <v>969</v>
      </c>
      <c r="I73" s="20">
        <f t="shared" si="7"/>
        <v>4</v>
      </c>
    </row>
    <row r="74" spans="1:9" x14ac:dyDescent="0.25">
      <c r="A74" s="7" t="str">
        <f>lectura_datos__3[[#This Row],[ID]]</f>
        <v>ROBO</v>
      </c>
      <c r="B74" s="7" t="str">
        <f>lectura_datos__3[[#This Row],[ZONA]]</f>
        <v xml:space="preserve"> ZONA 1</v>
      </c>
      <c r="C74" s="14">
        <f>lectura_datos__3[[#This Row],[PESO]]</f>
        <v>41</v>
      </c>
      <c r="D74" s="12">
        <f>lectura_datos__3[[#This Row],[FECHA]]</f>
        <v>43236</v>
      </c>
      <c r="E74" s="13">
        <f>lectura_datos__3[[#This Row],[HORA]]</f>
        <v>0.49998842592592591</v>
      </c>
      <c r="F74" s="15" t="str">
        <f>IFERROR(VLOOKUP(Lectura!A74,Tabla13[],I74,FALSE),"No")</f>
        <v>No</v>
      </c>
      <c r="G74" s="18" t="str">
        <f t="shared" si="5"/>
        <v>ROBO</v>
      </c>
      <c r="H74" s="16">
        <f t="shared" si="6"/>
        <v>41</v>
      </c>
      <c r="I74" s="20">
        <f t="shared" si="7"/>
        <v>4</v>
      </c>
    </row>
    <row r="75" spans="1:9" x14ac:dyDescent="0.25">
      <c r="A75" s="7" t="str">
        <f>lectura_datos__3[[#This Row],[ID]]</f>
        <v>ROBO</v>
      </c>
      <c r="B75" s="7" t="str">
        <f>lectura_datos__3[[#This Row],[ZONA]]</f>
        <v xml:space="preserve"> ZONA 1</v>
      </c>
      <c r="C75" s="14">
        <f>lectura_datos__3[[#This Row],[PESO]]</f>
        <v>-130</v>
      </c>
      <c r="D75" s="12">
        <f>lectura_datos__3[[#This Row],[FECHA]]</f>
        <v>43236</v>
      </c>
      <c r="E75" s="13">
        <f>lectura_datos__3[[#This Row],[HORA]]</f>
        <v>0.49998842592592591</v>
      </c>
      <c r="F75" s="15" t="str">
        <f>IFERROR(VLOOKUP(Lectura!A75,Tabla13[],I75,FALSE),"No")</f>
        <v>No</v>
      </c>
      <c r="G75" s="18" t="str">
        <f t="shared" si="5"/>
        <v>ROBO</v>
      </c>
      <c r="H75" s="16">
        <f t="shared" si="6"/>
        <v>-130</v>
      </c>
      <c r="I75" s="20">
        <f t="shared" si="7"/>
        <v>4</v>
      </c>
    </row>
    <row r="76" spans="1:9" x14ac:dyDescent="0.25">
      <c r="A76" s="7" t="str">
        <f>lectura_datos__3[[#This Row],[ID]]</f>
        <v>ROBO</v>
      </c>
      <c r="B76" s="7" t="str">
        <f>lectura_datos__3[[#This Row],[ZONA]]</f>
        <v xml:space="preserve"> ZONA 1</v>
      </c>
      <c r="C76" s="14">
        <f>lectura_datos__3[[#This Row],[PESO]]</f>
        <v>-880</v>
      </c>
      <c r="D76" s="12">
        <f>lectura_datos__3[[#This Row],[FECHA]]</f>
        <v>43236</v>
      </c>
      <c r="E76" s="13">
        <f>lectura_datos__3[[#This Row],[HORA]]</f>
        <v>0.49998842592592591</v>
      </c>
      <c r="F76" s="15" t="str">
        <f>IFERROR(VLOOKUP(Lectura!A76,Tabla13[],I76,FALSE),"No")</f>
        <v>No</v>
      </c>
      <c r="G76" s="18" t="str">
        <f t="shared" si="5"/>
        <v>ROBO</v>
      </c>
      <c r="H76" s="16">
        <f t="shared" si="6"/>
        <v>-880</v>
      </c>
      <c r="I76" s="20">
        <f t="shared" si="7"/>
        <v>4</v>
      </c>
    </row>
    <row r="77" spans="1:9" x14ac:dyDescent="0.25">
      <c r="A77" s="7" t="str">
        <f>lectura_datos__3[[#This Row],[ID]]</f>
        <v>F5 A3 50 D6</v>
      </c>
      <c r="B77" s="7" t="str">
        <f>lectura_datos__3[[#This Row],[ZONA]]</f>
        <v xml:space="preserve"> ZONA 1</v>
      </c>
      <c r="C77" s="14">
        <f>lectura_datos__3[[#This Row],[PESO]]</f>
        <v>952</v>
      </c>
      <c r="D77" s="12">
        <f>lectura_datos__3[[#This Row],[FECHA]]</f>
        <v>43236</v>
      </c>
      <c r="E77" s="13">
        <f>lectura_datos__3[[#This Row],[HORA]]</f>
        <v>0.50003472222222223</v>
      </c>
      <c r="F77" s="15" t="str">
        <f>IFERROR(VLOOKUP(Lectura!A77,Tabla13[],I77,FALSE),"No")</f>
        <v>Sí</v>
      </c>
      <c r="G77" s="18" t="str">
        <f t="shared" si="5"/>
        <v/>
      </c>
      <c r="H77" s="16" t="str">
        <f t="shared" si="6"/>
        <v/>
      </c>
      <c r="I77" s="20">
        <f t="shared" si="7"/>
        <v>4</v>
      </c>
    </row>
    <row r="78" spans="1:9" x14ac:dyDescent="0.25">
      <c r="A78" s="7" t="str">
        <f>lectura_datos__3[[#This Row],[ID]]</f>
        <v>A4 A5 28 EB</v>
      </c>
      <c r="B78" s="7" t="str">
        <f>lectura_datos__3[[#This Row],[ZONA]]</f>
        <v xml:space="preserve"> ZONA 1</v>
      </c>
      <c r="C78" s="14">
        <f>lectura_datos__3[[#This Row],[PESO]]</f>
        <v>859</v>
      </c>
      <c r="D78" s="12">
        <f>lectura_datos__3[[#This Row],[FECHA]]</f>
        <v>43236</v>
      </c>
      <c r="E78" s="13">
        <f>lectura_datos__3[[#This Row],[HORA]]</f>
        <v>0.50009259259259264</v>
      </c>
      <c r="F78" s="15" t="str">
        <f>IFERROR(VLOOKUP(Lectura!A78,Tabla13[],I78,FALSE),"No")</f>
        <v>No</v>
      </c>
      <c r="G78" s="18" t="str">
        <f t="shared" si="5"/>
        <v>A4 A5 28 EB</v>
      </c>
      <c r="H78" s="16">
        <f t="shared" si="6"/>
        <v>859</v>
      </c>
      <c r="I78" s="20">
        <f t="shared" si="7"/>
        <v>4</v>
      </c>
    </row>
    <row r="79" spans="1:9" x14ac:dyDescent="0.25">
      <c r="A79" s="7" t="str">
        <f>lectura_datos__3[[#This Row],[ID]]</f>
        <v>F5 A3 50 D6</v>
      </c>
      <c r="B79" s="7" t="str">
        <f>lectura_datos__3[[#This Row],[ZONA]]</f>
        <v xml:space="preserve"> ZONA 2</v>
      </c>
      <c r="C79" s="14">
        <f>lectura_datos__3[[#This Row],[PESO]]</f>
        <v>367</v>
      </c>
      <c r="D79" s="12">
        <f>lectura_datos__3[[#This Row],[FECHA]]</f>
        <v>43236</v>
      </c>
      <c r="E79" s="13">
        <f>lectura_datos__3[[#This Row],[HORA]]</f>
        <v>0.50020833333333337</v>
      </c>
      <c r="F79" s="15" t="str">
        <f>IFERROR(VLOOKUP(Lectura!A79,Tabla13[],I79,FALSE),"No")</f>
        <v>No</v>
      </c>
      <c r="G79" s="18" t="str">
        <f t="shared" si="5"/>
        <v>F5 A3 50 D6</v>
      </c>
      <c r="H79" s="16">
        <f t="shared" si="6"/>
        <v>367</v>
      </c>
      <c r="I79" s="20">
        <f t="shared" si="7"/>
        <v>5</v>
      </c>
    </row>
    <row r="80" spans="1:9" x14ac:dyDescent="0.25">
      <c r="A80" s="7" t="str">
        <f>lectura_datos__3[[#This Row],[ID]]</f>
        <v>A4 A5 28 EB</v>
      </c>
      <c r="B80" s="7" t="str">
        <f>lectura_datos__3[[#This Row],[ZONA]]</f>
        <v xml:space="preserve"> ZONA 2</v>
      </c>
      <c r="C80" s="14">
        <f>lectura_datos__3[[#This Row],[PESO]]</f>
        <v>532</v>
      </c>
      <c r="D80" s="12">
        <f>lectura_datos__3[[#This Row],[FECHA]]</f>
        <v>43236</v>
      </c>
      <c r="E80" s="13">
        <f>lectura_datos__3[[#This Row],[HORA]]</f>
        <v>0.50028935185185186</v>
      </c>
      <c r="F80" s="15" t="str">
        <f>IFERROR(VLOOKUP(Lectura!A80,Tabla13[],I80,FALSE),"No")</f>
        <v>Sí</v>
      </c>
      <c r="G80" s="18" t="str">
        <f t="shared" si="5"/>
        <v/>
      </c>
      <c r="H80" s="16" t="str">
        <f t="shared" si="6"/>
        <v/>
      </c>
      <c r="I80" s="20">
        <f t="shared" si="7"/>
        <v>5</v>
      </c>
    </row>
    <row r="81" spans="1:9" x14ac:dyDescent="0.25">
      <c r="A81" s="7" t="str">
        <f>lectura_datos__3[[#This Row],[ID]]</f>
        <v>ROBO</v>
      </c>
      <c r="B81" s="7" t="str">
        <f>lectura_datos__3[[#This Row],[ZONA]]</f>
        <v xml:space="preserve"> ZONA 2</v>
      </c>
      <c r="C81" s="14">
        <f>lectura_datos__3[[#This Row],[PESO]]</f>
        <v>183</v>
      </c>
      <c r="D81" s="12">
        <f>lectura_datos__3[[#This Row],[FECHA]]</f>
        <v>43236</v>
      </c>
      <c r="E81" s="13">
        <f>lectura_datos__3[[#This Row],[HORA]]</f>
        <v>0.50031250000000005</v>
      </c>
      <c r="F81" s="15" t="str">
        <f>IFERROR(VLOOKUP(Lectura!A81,Tabla13[],I81,FALSE),"No")</f>
        <v>No</v>
      </c>
      <c r="G81" s="18" t="str">
        <f t="shared" si="5"/>
        <v>ROBO</v>
      </c>
      <c r="H81" s="16">
        <f t="shared" si="6"/>
        <v>183</v>
      </c>
      <c r="I81" s="20">
        <f t="shared" si="7"/>
        <v>5</v>
      </c>
    </row>
    <row r="82" spans="1:9" x14ac:dyDescent="0.25">
      <c r="A82" s="7" t="str">
        <f>lectura_datos__3[[#This Row],[ID]]</f>
        <v>F5 A3 50 D6 ROBO</v>
      </c>
      <c r="B82" s="7" t="str">
        <f>lectura_datos__3[[#This Row],[ZONA]]</f>
        <v xml:space="preserve"> ZONA 1</v>
      </c>
      <c r="C82" s="14">
        <f>lectura_datos__3[[#This Row],[PESO]]</f>
        <v>988</v>
      </c>
      <c r="D82" s="12">
        <f>lectura_datos__3[[#This Row],[FECHA]]</f>
        <v>43236</v>
      </c>
      <c r="E82" s="13">
        <f>lectura_datos__3[[#This Row],[HORA]]</f>
        <v>0.50127314814814816</v>
      </c>
      <c r="F82" s="15" t="str">
        <f>IFERROR(VLOOKUP(Lectura!A82,Tabla13[],I82,FALSE),"No")</f>
        <v>No</v>
      </c>
      <c r="G82" s="18" t="str">
        <f t="shared" si="5"/>
        <v>F5 A3 50 D6 ROBO</v>
      </c>
      <c r="H82" s="16">
        <f t="shared" si="6"/>
        <v>988</v>
      </c>
      <c r="I82" s="20">
        <f t="shared" si="7"/>
        <v>4</v>
      </c>
    </row>
    <row r="83" spans="1:9" x14ac:dyDescent="0.25">
      <c r="A83" s="7" t="e">
        <f>lectura_datos__3[[#This Row],[ID]]</f>
        <v>#VALUE!</v>
      </c>
      <c r="B83" s="7" t="e">
        <f>lectura_datos__3[[#This Row],[ZONA]]</f>
        <v>#VALUE!</v>
      </c>
      <c r="C83" s="14" t="e">
        <f>lectura_datos__3[[#This Row],[PESO]]</f>
        <v>#VALUE!</v>
      </c>
      <c r="D83" s="12" t="e">
        <f>lectura_datos__3[[#This Row],[FECHA]]</f>
        <v>#VALUE!</v>
      </c>
      <c r="E83" s="13" t="e">
        <f>lectura_datos__3[[#This Row],[HORA]]</f>
        <v>#VALUE!</v>
      </c>
      <c r="F83" s="15" t="str">
        <f>IFERROR(VLOOKUP(Lectura!A83,Tabla13[],I83,FALSE),"No")</f>
        <v>No</v>
      </c>
      <c r="G83" s="18" t="e">
        <f t="shared" si="5"/>
        <v>#VALUE!</v>
      </c>
      <c r="H83" s="16" t="e">
        <f t="shared" si="6"/>
        <v>#VALUE!</v>
      </c>
      <c r="I83" s="20" t="e">
        <f t="shared" si="7"/>
        <v>#VALUE!</v>
      </c>
    </row>
    <row r="84" spans="1:9" x14ac:dyDescent="0.25">
      <c r="A84" s="7" t="e">
        <f>lectura_datos__3[[#This Row],[ID]]</f>
        <v>#VALUE!</v>
      </c>
      <c r="B84" s="7" t="e">
        <f>lectura_datos__3[[#This Row],[ZONA]]</f>
        <v>#VALUE!</v>
      </c>
      <c r="C84" s="14" t="e">
        <f>lectura_datos__3[[#This Row],[PESO]]</f>
        <v>#VALUE!</v>
      </c>
      <c r="D84" s="12" t="e">
        <f>lectura_datos__3[[#This Row],[FECHA]]</f>
        <v>#VALUE!</v>
      </c>
      <c r="E84" s="13" t="e">
        <f>lectura_datos__3[[#This Row],[HORA]]</f>
        <v>#VALUE!</v>
      </c>
      <c r="F84" s="15" t="str">
        <f>IFERROR(VLOOKUP(Lectura!A84,Tabla13[],I84,FALSE),"No")</f>
        <v>No</v>
      </c>
      <c r="G84" s="18" t="e">
        <f t="shared" si="5"/>
        <v>#VALUE!</v>
      </c>
      <c r="H84" s="16" t="e">
        <f t="shared" si="6"/>
        <v>#VALUE!</v>
      </c>
      <c r="I84" s="20" t="e">
        <f t="shared" si="7"/>
        <v>#VALUE!</v>
      </c>
    </row>
    <row r="85" spans="1:9" x14ac:dyDescent="0.25">
      <c r="A85" s="7" t="e">
        <f>lectura_datos__3[[#This Row],[ID]]</f>
        <v>#VALUE!</v>
      </c>
      <c r="B85" s="7" t="e">
        <f>lectura_datos__3[[#This Row],[ZONA]]</f>
        <v>#VALUE!</v>
      </c>
      <c r="C85" s="14" t="e">
        <f>lectura_datos__3[[#This Row],[PESO]]</f>
        <v>#VALUE!</v>
      </c>
      <c r="D85" s="12" t="e">
        <f>lectura_datos__3[[#This Row],[FECHA]]</f>
        <v>#VALUE!</v>
      </c>
      <c r="E85" s="13" t="e">
        <f>lectura_datos__3[[#This Row],[HORA]]</f>
        <v>#VALUE!</v>
      </c>
      <c r="F85" s="15" t="str">
        <f>IFERROR(VLOOKUP(Lectura!A85,Tabla13[],I85,FALSE),"No")</f>
        <v>No</v>
      </c>
      <c r="G85" s="18" t="e">
        <f t="shared" si="5"/>
        <v>#VALUE!</v>
      </c>
      <c r="H85" s="16" t="e">
        <f t="shared" si="6"/>
        <v>#VALUE!</v>
      </c>
      <c r="I85" s="20" t="e">
        <f t="shared" si="7"/>
        <v>#VALUE!</v>
      </c>
    </row>
    <row r="86" spans="1:9" x14ac:dyDescent="0.25">
      <c r="A86" s="7" t="e">
        <f>lectura_datos__3[[#This Row],[ID]]</f>
        <v>#VALUE!</v>
      </c>
      <c r="B86" s="7" t="e">
        <f>lectura_datos__3[[#This Row],[ZONA]]</f>
        <v>#VALUE!</v>
      </c>
      <c r="C86" s="14" t="e">
        <f>lectura_datos__3[[#This Row],[PESO]]</f>
        <v>#VALUE!</v>
      </c>
      <c r="D86" s="12" t="e">
        <f>lectura_datos__3[[#This Row],[FECHA]]</f>
        <v>#VALUE!</v>
      </c>
      <c r="E86" s="13" t="e">
        <f>lectura_datos__3[[#This Row],[HORA]]</f>
        <v>#VALUE!</v>
      </c>
      <c r="F86" s="15" t="str">
        <f>IFERROR(VLOOKUP(Lectura!A86,Tabla13[],I86,FALSE),"No")</f>
        <v>No</v>
      </c>
      <c r="G86" s="18" t="e">
        <f t="shared" si="5"/>
        <v>#VALUE!</v>
      </c>
      <c r="H86" s="16" t="e">
        <f t="shared" si="6"/>
        <v>#VALUE!</v>
      </c>
      <c r="I86" s="20" t="e">
        <f t="shared" si="7"/>
        <v>#VALUE!</v>
      </c>
    </row>
    <row r="87" spans="1:9" x14ac:dyDescent="0.25">
      <c r="A87" s="7" t="e">
        <f>lectura_datos__3[[#This Row],[ID]]</f>
        <v>#VALUE!</v>
      </c>
      <c r="B87" s="7" t="e">
        <f>lectura_datos__3[[#This Row],[ZONA]]</f>
        <v>#VALUE!</v>
      </c>
      <c r="C87" s="14" t="e">
        <f>lectura_datos__3[[#This Row],[PESO]]</f>
        <v>#VALUE!</v>
      </c>
      <c r="D87" s="12" t="e">
        <f>lectura_datos__3[[#This Row],[FECHA]]</f>
        <v>#VALUE!</v>
      </c>
      <c r="E87" s="13" t="e">
        <f>lectura_datos__3[[#This Row],[HORA]]</f>
        <v>#VALUE!</v>
      </c>
      <c r="F87" s="15" t="str">
        <f>IFERROR(VLOOKUP(Lectura!A87,Tabla13[],I87,FALSE),"No")</f>
        <v>No</v>
      </c>
      <c r="G87" s="18" t="e">
        <f t="shared" si="5"/>
        <v>#VALUE!</v>
      </c>
      <c r="H87" s="16" t="e">
        <f t="shared" si="6"/>
        <v>#VALUE!</v>
      </c>
      <c r="I87" s="20" t="e">
        <f t="shared" si="7"/>
        <v>#VALUE!</v>
      </c>
    </row>
    <row r="88" spans="1:9" x14ac:dyDescent="0.25">
      <c r="A88" s="7" t="e">
        <f>lectura_datos__3[[#This Row],[ID]]</f>
        <v>#VALUE!</v>
      </c>
      <c r="B88" s="7" t="e">
        <f>lectura_datos__3[[#This Row],[ZONA]]</f>
        <v>#VALUE!</v>
      </c>
      <c r="C88" s="14" t="e">
        <f>lectura_datos__3[[#This Row],[PESO]]</f>
        <v>#VALUE!</v>
      </c>
      <c r="D88" s="12" t="e">
        <f>lectura_datos__3[[#This Row],[FECHA]]</f>
        <v>#VALUE!</v>
      </c>
      <c r="E88" s="13" t="e">
        <f>lectura_datos__3[[#This Row],[HORA]]</f>
        <v>#VALUE!</v>
      </c>
      <c r="F88" s="15" t="str">
        <f>IFERROR(VLOOKUP(Lectura!A88,Tabla13[],I88,FALSE),"No")</f>
        <v>No</v>
      </c>
      <c r="G88" s="18" t="e">
        <f t="shared" si="5"/>
        <v>#VALUE!</v>
      </c>
      <c r="H88" s="16" t="e">
        <f t="shared" si="6"/>
        <v>#VALUE!</v>
      </c>
      <c r="I88" s="20" t="e">
        <f t="shared" si="7"/>
        <v>#VALUE!</v>
      </c>
    </row>
    <row r="89" spans="1:9" x14ac:dyDescent="0.25">
      <c r="A89" s="7" t="e">
        <f>lectura_datos__3[[#This Row],[ID]]</f>
        <v>#VALUE!</v>
      </c>
      <c r="B89" s="7" t="e">
        <f>lectura_datos__3[[#This Row],[ZONA]]</f>
        <v>#VALUE!</v>
      </c>
      <c r="C89" s="14" t="e">
        <f>lectura_datos__3[[#This Row],[PESO]]</f>
        <v>#VALUE!</v>
      </c>
      <c r="D89" s="12" t="e">
        <f>lectura_datos__3[[#This Row],[FECHA]]</f>
        <v>#VALUE!</v>
      </c>
      <c r="E89" s="13" t="e">
        <f>lectura_datos__3[[#This Row],[HORA]]</f>
        <v>#VALUE!</v>
      </c>
      <c r="F89" s="15" t="str">
        <f>IFERROR(VLOOKUP(Lectura!A89,Tabla13[],I89,FALSE),"No")</f>
        <v>No</v>
      </c>
      <c r="G89" s="18" t="e">
        <f t="shared" si="5"/>
        <v>#VALUE!</v>
      </c>
      <c r="H89" s="16" t="e">
        <f t="shared" si="6"/>
        <v>#VALUE!</v>
      </c>
      <c r="I89" s="20" t="e">
        <f t="shared" si="7"/>
        <v>#VALUE!</v>
      </c>
    </row>
    <row r="90" spans="1:9" x14ac:dyDescent="0.25">
      <c r="A90" s="7" t="e">
        <f>lectura_datos__3[[#This Row],[ID]]</f>
        <v>#VALUE!</v>
      </c>
      <c r="B90" s="7" t="e">
        <f>lectura_datos__3[[#This Row],[ZONA]]</f>
        <v>#VALUE!</v>
      </c>
      <c r="C90" s="14" t="e">
        <f>lectura_datos__3[[#This Row],[PESO]]</f>
        <v>#VALUE!</v>
      </c>
      <c r="D90" s="12" t="e">
        <f>lectura_datos__3[[#This Row],[FECHA]]</f>
        <v>#VALUE!</v>
      </c>
      <c r="E90" s="13" t="e">
        <f>lectura_datos__3[[#This Row],[HORA]]</f>
        <v>#VALUE!</v>
      </c>
      <c r="F90" s="15" t="str">
        <f>IFERROR(VLOOKUP(Lectura!A90,Tabla13[],I90,FALSE),"No")</f>
        <v>No</v>
      </c>
      <c r="G90" s="18" t="e">
        <f t="shared" si="5"/>
        <v>#VALUE!</v>
      </c>
      <c r="H90" s="16" t="e">
        <f t="shared" si="6"/>
        <v>#VALUE!</v>
      </c>
      <c r="I90" s="20" t="e">
        <f t="shared" si="7"/>
        <v>#VALUE!</v>
      </c>
    </row>
    <row r="91" spans="1:9" x14ac:dyDescent="0.25">
      <c r="A91" s="7" t="e">
        <f>lectura_datos__3[[#This Row],[ID]]</f>
        <v>#VALUE!</v>
      </c>
      <c r="B91" s="7" t="e">
        <f>lectura_datos__3[[#This Row],[ZONA]]</f>
        <v>#VALUE!</v>
      </c>
      <c r="C91" s="14" t="e">
        <f>lectura_datos__3[[#This Row],[PESO]]</f>
        <v>#VALUE!</v>
      </c>
      <c r="D91" s="12" t="e">
        <f>lectura_datos__3[[#This Row],[FECHA]]</f>
        <v>#VALUE!</v>
      </c>
      <c r="E91" s="13" t="e">
        <f>lectura_datos__3[[#This Row],[HORA]]</f>
        <v>#VALUE!</v>
      </c>
      <c r="F91" s="15" t="str">
        <f>IFERROR(VLOOKUP(Lectura!A91,Tabla13[],I91,FALSE),"No")</f>
        <v>No</v>
      </c>
      <c r="G91" s="18" t="e">
        <f t="shared" si="5"/>
        <v>#VALUE!</v>
      </c>
      <c r="H91" s="16" t="e">
        <f t="shared" si="6"/>
        <v>#VALUE!</v>
      </c>
      <c r="I91" s="20" t="e">
        <f t="shared" si="7"/>
        <v>#VALUE!</v>
      </c>
    </row>
    <row r="92" spans="1:9" x14ac:dyDescent="0.25">
      <c r="A92" s="7" t="e">
        <f>lectura_datos__3[[#This Row],[ID]]</f>
        <v>#VALUE!</v>
      </c>
      <c r="B92" s="7" t="e">
        <f>lectura_datos__3[[#This Row],[ZONA]]</f>
        <v>#VALUE!</v>
      </c>
      <c r="C92" s="14" t="e">
        <f>lectura_datos__3[[#This Row],[PESO]]</f>
        <v>#VALUE!</v>
      </c>
      <c r="D92" s="12" t="e">
        <f>lectura_datos__3[[#This Row],[FECHA]]</f>
        <v>#VALUE!</v>
      </c>
      <c r="E92" s="13" t="e">
        <f>lectura_datos__3[[#This Row],[HORA]]</f>
        <v>#VALUE!</v>
      </c>
      <c r="F92" s="15" t="str">
        <f>IFERROR(VLOOKUP(Lectura!A92,Tabla13[],I92,FALSE),"No")</f>
        <v>No</v>
      </c>
      <c r="G92" s="18" t="e">
        <f t="shared" si="5"/>
        <v>#VALUE!</v>
      </c>
      <c r="H92" s="16" t="e">
        <f t="shared" si="6"/>
        <v>#VALUE!</v>
      </c>
      <c r="I92" s="20" t="e">
        <f t="shared" si="7"/>
        <v>#VALUE!</v>
      </c>
    </row>
    <row r="93" spans="1:9" x14ac:dyDescent="0.25">
      <c r="A93" s="7" t="e">
        <f>lectura_datos__3[[#This Row],[ID]]</f>
        <v>#VALUE!</v>
      </c>
      <c r="B93" s="7" t="e">
        <f>lectura_datos__3[[#This Row],[ZONA]]</f>
        <v>#VALUE!</v>
      </c>
      <c r="C93" s="14" t="e">
        <f>lectura_datos__3[[#This Row],[PESO]]</f>
        <v>#VALUE!</v>
      </c>
      <c r="D93" s="12" t="e">
        <f>lectura_datos__3[[#This Row],[FECHA]]</f>
        <v>#VALUE!</v>
      </c>
      <c r="E93" s="13" t="e">
        <f>lectura_datos__3[[#This Row],[HORA]]</f>
        <v>#VALUE!</v>
      </c>
      <c r="F93" s="15" t="str">
        <f>IFERROR(VLOOKUP(Lectura!A93,Tabla13[],I93,FALSE),"No")</f>
        <v>No</v>
      </c>
      <c r="G93" s="18" t="e">
        <f t="shared" si="5"/>
        <v>#VALUE!</v>
      </c>
      <c r="H93" s="16" t="e">
        <f t="shared" si="6"/>
        <v>#VALUE!</v>
      </c>
      <c r="I93" s="20" t="e">
        <f t="shared" si="7"/>
        <v>#VALUE!</v>
      </c>
    </row>
    <row r="94" spans="1:9" x14ac:dyDescent="0.25">
      <c r="A94" s="7" t="e">
        <f>lectura_datos__3[[#This Row],[ID]]</f>
        <v>#VALUE!</v>
      </c>
      <c r="B94" s="7" t="e">
        <f>lectura_datos__3[[#This Row],[ZONA]]</f>
        <v>#VALUE!</v>
      </c>
      <c r="C94" s="14" t="e">
        <f>lectura_datos__3[[#This Row],[PESO]]</f>
        <v>#VALUE!</v>
      </c>
      <c r="D94" s="12" t="e">
        <f>lectura_datos__3[[#This Row],[FECHA]]</f>
        <v>#VALUE!</v>
      </c>
      <c r="E94" s="13" t="e">
        <f>lectura_datos__3[[#This Row],[HORA]]</f>
        <v>#VALUE!</v>
      </c>
      <c r="F94" s="15" t="str">
        <f>IFERROR(VLOOKUP(Lectura!A94,Tabla13[],I94,FALSE),"No")</f>
        <v>No</v>
      </c>
      <c r="G94" s="18" t="e">
        <f t="shared" si="5"/>
        <v>#VALUE!</v>
      </c>
      <c r="H94" s="16" t="e">
        <f t="shared" si="6"/>
        <v>#VALUE!</v>
      </c>
      <c r="I94" s="20" t="e">
        <f t="shared" si="7"/>
        <v>#VALUE!</v>
      </c>
    </row>
    <row r="95" spans="1:9" x14ac:dyDescent="0.25">
      <c r="A95" s="7" t="e">
        <f>lectura_datos__3[[#This Row],[ID]]</f>
        <v>#VALUE!</v>
      </c>
      <c r="B95" s="7" t="e">
        <f>lectura_datos__3[[#This Row],[ZONA]]</f>
        <v>#VALUE!</v>
      </c>
      <c r="C95" s="14" t="e">
        <f>lectura_datos__3[[#This Row],[PESO]]</f>
        <v>#VALUE!</v>
      </c>
      <c r="D95" s="12" t="e">
        <f>lectura_datos__3[[#This Row],[FECHA]]</f>
        <v>#VALUE!</v>
      </c>
      <c r="E95" s="13" t="e">
        <f>lectura_datos__3[[#This Row],[HORA]]</f>
        <v>#VALUE!</v>
      </c>
      <c r="F95" s="15" t="str">
        <f>IFERROR(VLOOKUP(Lectura!A95,Tabla13[],I95,FALSE),"No")</f>
        <v>No</v>
      </c>
      <c r="G95" s="18" t="e">
        <f t="shared" si="5"/>
        <v>#VALUE!</v>
      </c>
      <c r="H95" s="16" t="e">
        <f t="shared" si="6"/>
        <v>#VALUE!</v>
      </c>
      <c r="I95" s="20" t="e">
        <f t="shared" si="7"/>
        <v>#VALUE!</v>
      </c>
    </row>
    <row r="96" spans="1:9" x14ac:dyDescent="0.25">
      <c r="A96" s="7" t="e">
        <f>lectura_datos__3[[#This Row],[ID]]</f>
        <v>#VALUE!</v>
      </c>
      <c r="B96" s="7" t="e">
        <f>lectura_datos__3[[#This Row],[ZONA]]</f>
        <v>#VALUE!</v>
      </c>
      <c r="C96" s="14" t="e">
        <f>lectura_datos__3[[#This Row],[PESO]]</f>
        <v>#VALUE!</v>
      </c>
      <c r="D96" s="12" t="e">
        <f>lectura_datos__3[[#This Row],[FECHA]]</f>
        <v>#VALUE!</v>
      </c>
      <c r="E96" s="13" t="e">
        <f>lectura_datos__3[[#This Row],[HORA]]</f>
        <v>#VALUE!</v>
      </c>
      <c r="F96" s="15" t="str">
        <f>IFERROR(VLOOKUP(Lectura!A96,Tabla13[],I96,FALSE),"No")</f>
        <v>No</v>
      </c>
      <c r="G96" s="18" t="e">
        <f t="shared" si="5"/>
        <v>#VALUE!</v>
      </c>
      <c r="H96" s="16" t="e">
        <f t="shared" si="6"/>
        <v>#VALUE!</v>
      </c>
      <c r="I96" s="20" t="e">
        <f t="shared" si="7"/>
        <v>#VALUE!</v>
      </c>
    </row>
    <row r="97" spans="1:9" x14ac:dyDescent="0.25">
      <c r="A97" s="7" t="e">
        <f>lectura_datos__3[[#This Row],[ID]]</f>
        <v>#VALUE!</v>
      </c>
      <c r="B97" s="7" t="e">
        <f>lectura_datos__3[[#This Row],[ZONA]]</f>
        <v>#VALUE!</v>
      </c>
      <c r="C97" s="14" t="e">
        <f>lectura_datos__3[[#This Row],[PESO]]</f>
        <v>#VALUE!</v>
      </c>
      <c r="D97" s="12" t="e">
        <f>lectura_datos__3[[#This Row],[FECHA]]</f>
        <v>#VALUE!</v>
      </c>
      <c r="E97" s="13" t="e">
        <f>lectura_datos__3[[#This Row],[HORA]]</f>
        <v>#VALUE!</v>
      </c>
      <c r="F97" s="15" t="str">
        <f>IFERROR(VLOOKUP(Lectura!A97,Tabla13[],I97,FALSE),"No")</f>
        <v>No</v>
      </c>
      <c r="G97" s="18" t="e">
        <f t="shared" si="5"/>
        <v>#VALUE!</v>
      </c>
      <c r="H97" s="16" t="e">
        <f t="shared" si="6"/>
        <v>#VALUE!</v>
      </c>
      <c r="I97" s="20" t="e">
        <f t="shared" si="7"/>
        <v>#VALUE!</v>
      </c>
    </row>
    <row r="98" spans="1:9" x14ac:dyDescent="0.25">
      <c r="A98" s="7" t="e">
        <f>lectura_datos__3[[#This Row],[ID]]</f>
        <v>#VALUE!</v>
      </c>
      <c r="B98" s="7" t="e">
        <f>lectura_datos__3[[#This Row],[ZONA]]</f>
        <v>#VALUE!</v>
      </c>
      <c r="C98" s="14" t="e">
        <f>lectura_datos__3[[#This Row],[PESO]]</f>
        <v>#VALUE!</v>
      </c>
      <c r="D98" s="12" t="e">
        <f>lectura_datos__3[[#This Row],[FECHA]]</f>
        <v>#VALUE!</v>
      </c>
      <c r="E98" s="13" t="e">
        <f>lectura_datos__3[[#This Row],[HORA]]</f>
        <v>#VALUE!</v>
      </c>
      <c r="F98" s="15" t="str">
        <f>IFERROR(VLOOKUP(Lectura!A98,Tabla13[],I98,FALSE),"No")</f>
        <v>No</v>
      </c>
      <c r="G98" s="18" t="e">
        <f t="shared" si="5"/>
        <v>#VALUE!</v>
      </c>
      <c r="H98" s="16" t="e">
        <f t="shared" si="6"/>
        <v>#VALUE!</v>
      </c>
      <c r="I98" s="20" t="e">
        <f t="shared" si="7"/>
        <v>#VALUE!</v>
      </c>
    </row>
    <row r="99" spans="1:9" x14ac:dyDescent="0.25">
      <c r="A99" s="7" t="e">
        <f>lectura_datos__3[[#This Row],[ID]]</f>
        <v>#VALUE!</v>
      </c>
      <c r="B99" s="7" t="e">
        <f>lectura_datos__3[[#This Row],[ZONA]]</f>
        <v>#VALUE!</v>
      </c>
      <c r="C99" s="14" t="e">
        <f>lectura_datos__3[[#This Row],[PESO]]</f>
        <v>#VALUE!</v>
      </c>
      <c r="D99" s="12" t="e">
        <f>lectura_datos__3[[#This Row],[FECHA]]</f>
        <v>#VALUE!</v>
      </c>
      <c r="E99" s="13" t="e">
        <f>lectura_datos__3[[#This Row],[HORA]]</f>
        <v>#VALUE!</v>
      </c>
      <c r="F99" s="15" t="str">
        <f>IFERROR(VLOOKUP(Lectura!A99,Tabla13[],I99,FALSE),"No")</f>
        <v>No</v>
      </c>
      <c r="G99" s="18" t="e">
        <f t="shared" si="5"/>
        <v>#VALUE!</v>
      </c>
      <c r="H99" s="16" t="e">
        <f t="shared" si="6"/>
        <v>#VALUE!</v>
      </c>
      <c r="I99" s="20" t="e">
        <f t="shared" si="7"/>
        <v>#VALUE!</v>
      </c>
    </row>
    <row r="100" spans="1:9" x14ac:dyDescent="0.25">
      <c r="A100" s="7" t="e">
        <f>lectura_datos__3[[#This Row],[ID]]</f>
        <v>#VALUE!</v>
      </c>
      <c r="B100" s="7" t="e">
        <f>lectura_datos__3[[#This Row],[ZONA]]</f>
        <v>#VALUE!</v>
      </c>
      <c r="C100" s="14" t="e">
        <f>lectura_datos__3[[#This Row],[PESO]]</f>
        <v>#VALUE!</v>
      </c>
      <c r="D100" s="12" t="e">
        <f>lectura_datos__3[[#This Row],[FECHA]]</f>
        <v>#VALUE!</v>
      </c>
      <c r="E100" s="13" t="e">
        <f>lectura_datos__3[[#This Row],[HORA]]</f>
        <v>#VALUE!</v>
      </c>
      <c r="F100" s="15" t="str">
        <f>IFERROR(VLOOKUP(Lectura!A100,Tabla13[],I100,FALSE),"No")</f>
        <v>No</v>
      </c>
      <c r="G100" s="18" t="e">
        <f t="shared" si="5"/>
        <v>#VALUE!</v>
      </c>
      <c r="H100" s="16" t="e">
        <f t="shared" si="6"/>
        <v>#VALUE!</v>
      </c>
      <c r="I100" s="20" t="e">
        <f t="shared" si="7"/>
        <v>#VALUE!</v>
      </c>
    </row>
  </sheetData>
  <autoFilter ref="A1:D17" xr:uid="{95BCA62D-1607-4449-A4E3-D5AFE11D0397}"/>
  <conditionalFormatting sqref="B2:B100">
    <cfRule type="containsErrors" dxfId="11" priority="1">
      <formula>ISERROR(B2)</formula>
    </cfRule>
  </conditionalFormatting>
  <conditionalFormatting sqref="F2:F100">
    <cfRule type="containsText" dxfId="10" priority="4" operator="containsText" text="No">
      <formula>NOT(ISERROR(SEARCH("No",F2)))</formula>
    </cfRule>
  </conditionalFormatting>
  <conditionalFormatting sqref="F2:F100">
    <cfRule type="cellIs" dxfId="9" priority="2" operator="equal">
      <formula>"Sí"</formula>
    </cfRule>
    <cfRule type="containsText" dxfId="8" priority="3" operator="containsText" text="Si">
      <formula>NOT(ISERROR(SEARCH("Si",F2)))</formula>
    </cfRule>
  </conditionalFormatting>
  <conditionalFormatting sqref="F2:F100">
    <cfRule type="containsErrors" dxfId="7" priority="6">
      <formula>ISERROR(F2)</formula>
    </cfRule>
  </conditionalFormatting>
  <conditionalFormatting sqref="A2:A100 C2:E100">
    <cfRule type="containsErrors" dxfId="6" priority="5">
      <formula>ISERROR(A2)</formula>
    </cfRule>
  </conditionalFormatting>
  <conditionalFormatting sqref="G2:H100">
    <cfRule type="containsBlanks" dxfId="5" priority="7">
      <formula>LEN(TRIM(G2))=0</formula>
    </cfRule>
    <cfRule type="containsErrors" dxfId="4" priority="8">
      <formula>ISERROR(G2)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5B89C-64E8-4CA5-BA0F-3CE54950DC05}">
  <dimension ref="A2:F11"/>
  <sheetViews>
    <sheetView workbookViewId="0">
      <selection activeCell="A4" sqref="A4"/>
    </sheetView>
  </sheetViews>
  <sheetFormatPr baseColWidth="10" defaultRowHeight="15" x14ac:dyDescent="0.25"/>
  <cols>
    <col min="2" max="2" width="18.140625" bestFit="1" customWidth="1"/>
    <col min="3" max="3" width="19.85546875" customWidth="1"/>
    <col min="4" max="4" width="13.28515625" customWidth="1"/>
  </cols>
  <sheetData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5" t="s">
        <v>0</v>
      </c>
      <c r="C3" s="5" t="s">
        <v>11</v>
      </c>
      <c r="D3" s="5" t="s">
        <v>1</v>
      </c>
      <c r="E3" s="5" t="s">
        <v>29</v>
      </c>
      <c r="F3" s="19" t="s">
        <v>30</v>
      </c>
    </row>
    <row r="4" spans="1:6" x14ac:dyDescent="0.25">
      <c r="A4" s="20" t="s">
        <v>12</v>
      </c>
      <c r="B4" s="3" t="s">
        <v>17</v>
      </c>
      <c r="C4" s="3" t="s">
        <v>8</v>
      </c>
      <c r="D4" s="3" t="s">
        <v>2</v>
      </c>
      <c r="E4" s="3" t="s">
        <v>6</v>
      </c>
      <c r="F4" s="1" t="s">
        <v>7</v>
      </c>
    </row>
    <row r="5" spans="1:6" x14ac:dyDescent="0.25">
      <c r="A5" s="20" t="s">
        <v>13</v>
      </c>
      <c r="B5" s="4" t="s">
        <v>18</v>
      </c>
      <c r="C5" s="4" t="s">
        <v>9</v>
      </c>
      <c r="D5" s="4" t="s">
        <v>3</v>
      </c>
      <c r="E5" s="4" t="s">
        <v>6</v>
      </c>
      <c r="F5" s="1" t="s">
        <v>7</v>
      </c>
    </row>
    <row r="6" spans="1:6" x14ac:dyDescent="0.25">
      <c r="A6" s="20" t="s">
        <v>14</v>
      </c>
      <c r="B6" s="3" t="s">
        <v>19</v>
      </c>
      <c r="C6" s="3" t="s">
        <v>10</v>
      </c>
      <c r="D6" s="3" t="s">
        <v>4</v>
      </c>
      <c r="E6" s="3" t="s">
        <v>7</v>
      </c>
      <c r="F6" s="1" t="s">
        <v>6</v>
      </c>
    </row>
    <row r="7" spans="1:6" x14ac:dyDescent="0.25">
      <c r="A7" s="20" t="s">
        <v>15</v>
      </c>
      <c r="B7" s="4" t="s">
        <v>20</v>
      </c>
      <c r="C7" s="4" t="s">
        <v>16</v>
      </c>
      <c r="D7" s="4" t="s">
        <v>5</v>
      </c>
      <c r="E7" s="4" t="s">
        <v>7</v>
      </c>
      <c r="F7" s="4" t="s">
        <v>6</v>
      </c>
    </row>
    <row r="8" spans="1:6" x14ac:dyDescent="0.25">
      <c r="A8" s="20"/>
      <c r="B8" s="2"/>
      <c r="C8" s="1"/>
      <c r="D8" s="1"/>
      <c r="E8" s="1"/>
      <c r="F8" s="1"/>
    </row>
    <row r="11" spans="1:6" x14ac:dyDescent="0.25">
      <c r="B11" s="11"/>
      <c r="C11" s="1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1D043-BEE2-4294-9603-577C1AF1DB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Lectura</vt:lpstr>
      <vt:lpstr>Registro</vt:lpstr>
      <vt:lpstr>BBDD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Romero Pomar</dc:creator>
  <cp:lastModifiedBy>Santiago Romero Pomar</cp:lastModifiedBy>
  <dcterms:created xsi:type="dcterms:W3CDTF">2018-03-21T10:50:41Z</dcterms:created>
  <dcterms:modified xsi:type="dcterms:W3CDTF">2018-05-16T10:13:30Z</dcterms:modified>
</cp:coreProperties>
</file>